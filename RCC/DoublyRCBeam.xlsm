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C\Advance RCC\"/>
    </mc:Choice>
  </mc:AlternateContent>
  <bookViews>
    <workbookView xWindow="120" yWindow="96" windowWidth="19092" windowHeight="8952" activeTab="2"/>
  </bookViews>
  <sheets>
    <sheet name="problem1" sheetId="1" r:id="rId1"/>
    <sheet name="problem2" sheetId="3" r:id="rId2"/>
    <sheet name="problem3" sheetId="2" r:id="rId3"/>
  </sheets>
  <functionGroups builtInGroupCount="18"/>
  <calcPr calcId="171027"/>
</workbook>
</file>

<file path=xl/calcChain.xml><?xml version="1.0" encoding="utf-8"?>
<calcChain xmlns="http://schemas.openxmlformats.org/spreadsheetml/2006/main">
  <c r="G21" i="3" l="1"/>
  <c r="G22" i="3" s="1"/>
  <c r="C12" i="3"/>
  <c r="G19" i="2"/>
  <c r="G19" i="3"/>
  <c r="C13" i="3"/>
  <c r="C9" i="3"/>
  <c r="C8" i="3"/>
  <c r="C7" i="3"/>
  <c r="C13" i="2"/>
  <c r="C12" i="2"/>
  <c r="C9" i="2"/>
  <c r="C8" i="2"/>
  <c r="C7" i="2"/>
  <c r="G19" i="1"/>
  <c r="G23" i="3"/>
  <c r="G24" i="3" l="1"/>
  <c r="G21" i="2"/>
  <c r="G22" i="2" s="1"/>
  <c r="C13" i="1"/>
  <c r="C12" i="1"/>
  <c r="G21" i="1" s="1"/>
  <c r="C9" i="1"/>
  <c r="C7" i="1"/>
  <c r="C8" i="1"/>
  <c r="G23" i="2"/>
  <c r="N26" i="3" l="1"/>
  <c r="G24" i="2"/>
  <c r="N26" i="2" s="1"/>
  <c r="G22" i="1"/>
  <c r="H30" i="2"/>
  <c r="H30" i="3"/>
  <c r="G23" i="1"/>
  <c r="H26" i="3" l="1"/>
  <c r="H26" i="2"/>
  <c r="G24" i="1"/>
  <c r="N26" i="1" s="1"/>
  <c r="H30" i="1"/>
  <c r="H26" i="1" l="1"/>
</calcChain>
</file>

<file path=xl/sharedStrings.xml><?xml version="1.0" encoding="utf-8"?>
<sst xmlns="http://schemas.openxmlformats.org/spreadsheetml/2006/main" count="130" uniqueCount="36">
  <si>
    <t>Problem No 1.</t>
  </si>
  <si>
    <t>Given:</t>
  </si>
  <si>
    <t>d=</t>
  </si>
  <si>
    <t>b=</t>
  </si>
  <si>
    <t>d'=</t>
  </si>
  <si>
    <r>
      <t>E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=</t>
    </r>
  </si>
  <si>
    <r>
      <t>f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=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</si>
  <si>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'</t>
    </r>
    <r>
      <rPr>
        <sz val="11"/>
        <color theme="1"/>
        <rFont val="Calibri"/>
        <family val="2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</si>
  <si>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</si>
  <si>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'</t>
    </r>
    <r>
      <rPr>
        <sz val="11"/>
        <color theme="1"/>
        <rFont val="Calibri"/>
        <family val="2"/>
        <scheme val="minor"/>
      </rPr>
      <t>=</t>
    </r>
  </si>
  <si>
    <t>#</t>
  </si>
  <si>
    <r>
      <t>inch</t>
    </r>
    <r>
      <rPr>
        <vertAlign val="superscript"/>
        <sz val="11"/>
        <color theme="1"/>
        <rFont val="Calibri"/>
        <family val="2"/>
        <scheme val="minor"/>
      </rPr>
      <t>2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</si>
  <si>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=</t>
    </r>
  </si>
  <si>
    <t>psi</t>
  </si>
  <si>
    <t>ksi</t>
  </si>
  <si>
    <t>inch</t>
  </si>
  <si>
    <t>Calculation for Design Moment Strength</t>
  </si>
  <si>
    <r>
      <t>ε</t>
    </r>
    <r>
      <rPr>
        <vertAlign val="subscript"/>
        <sz val="11"/>
        <color theme="1"/>
        <rFont val="Calibri"/>
        <family val="2"/>
      </rPr>
      <t>y</t>
    </r>
    <r>
      <rPr>
        <sz val="11"/>
        <color theme="1"/>
        <rFont val="Calibri"/>
        <family val="2"/>
      </rPr>
      <t>=f</t>
    </r>
    <r>
      <rPr>
        <vertAlign val="subscript"/>
        <sz val="11"/>
        <color theme="1"/>
        <rFont val="Calibri"/>
        <family val="2"/>
      </rPr>
      <t>y</t>
    </r>
    <r>
      <rPr>
        <sz val="11"/>
        <color theme="1"/>
        <rFont val="Calibri"/>
        <family val="2"/>
      </rPr>
      <t>/E</t>
    </r>
    <r>
      <rPr>
        <vertAlign val="subscript"/>
        <sz val="11"/>
        <color theme="1"/>
        <rFont val="Calibri"/>
        <family val="2"/>
      </rPr>
      <t>y</t>
    </r>
  </si>
  <si>
    <r>
      <t>Setting A</t>
    </r>
    <r>
      <rPr>
        <vertAlign val="subscript"/>
        <sz val="11"/>
        <color theme="1"/>
        <rFont val="Calibri"/>
        <family val="2"/>
        <scheme val="minor"/>
      </rPr>
      <t>s2</t>
    </r>
    <r>
      <rPr>
        <sz val="11"/>
        <color theme="1"/>
        <rFont val="Calibri"/>
        <family val="2"/>
        <scheme val="minor"/>
      </rPr>
      <t>=A</t>
    </r>
    <r>
      <rPr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'</t>
    </r>
  </si>
  <si>
    <r>
      <t>Therefore A</t>
    </r>
    <r>
      <rPr>
        <vertAlign val="subscript"/>
        <sz val="11"/>
        <color theme="1"/>
        <rFont val="Calibri"/>
        <family val="2"/>
        <scheme val="minor"/>
      </rPr>
      <t>s1</t>
    </r>
    <r>
      <rPr>
        <sz val="11"/>
        <color theme="1"/>
        <rFont val="Calibri"/>
        <family val="2"/>
        <scheme val="minor"/>
      </rPr>
      <t>=A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-A</t>
    </r>
    <r>
      <rPr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'</t>
    </r>
  </si>
  <si>
    <t>a=(As1*fy)/(0.85*fc'*b)</t>
  </si>
  <si>
    <r>
      <t>c=a/</t>
    </r>
    <r>
      <rPr>
        <sz val="11"/>
        <color theme="1"/>
        <rFont val="Calibri"/>
        <family val="2"/>
      </rPr>
      <t>β1</t>
    </r>
  </si>
  <si>
    <r>
      <t>ε</t>
    </r>
    <r>
      <rPr>
        <vertAlign val="subscript"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=0.003*((c-d')/c)</t>
    </r>
  </si>
  <si>
    <t>kipft</t>
  </si>
  <si>
    <r>
      <t>Design Moment Strength(</t>
    </r>
    <r>
      <rPr>
        <sz val="11"/>
        <color theme="1"/>
        <rFont val="Calibri"/>
        <family val="2"/>
      </rPr>
      <t>ΦM</t>
    </r>
    <r>
      <rPr>
        <vertAlign val="subscript"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)=</t>
    </r>
  </si>
  <si>
    <t>=</t>
  </si>
  <si>
    <t>Comparing stress in compression steel with yield stress of steel (1= es&gt;ey; 2=es&lt;ey)</t>
  </si>
  <si>
    <t>parameters</t>
  </si>
  <si>
    <t>value</t>
  </si>
  <si>
    <t>units</t>
  </si>
  <si>
    <t>parameter</t>
  </si>
  <si>
    <t>Problem No 2.</t>
  </si>
  <si>
    <t>Problem No 3.</t>
  </si>
  <si>
    <t>(NOTE : DETAILED CALCULATION IN THE MODULE(alt+F11 )</t>
  </si>
  <si>
    <t>Note: change dimensions in the beam</t>
  </si>
  <si>
    <t>COMPUTING DESIGN MOMENT STRENGTH OF SINGLY REINFORCED CONCRETE 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</si>
</sst>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2" borderId="2" xfId="0" applyFill="1" applyBorder="1"/>
    <xf numFmtId="0" fontId="0" fillId="2" borderId="3" xfId="0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5" fillId="3" borderId="6" xfId="0" applyFont="1" applyFill="1" applyBorder="1"/>
    <xf numFmtId="0" fontId="0" fillId="2" borderId="0" xfId="0" applyFill="1" applyAlignment="1">
      <alignment horizontal="left"/>
    </xf>
    <xf numFmtId="0" fontId="0" fillId="2" borderId="1" xfId="0" applyFill="1" applyBorder="1"/>
    <xf numFmtId="0" fontId="0" fillId="2" borderId="2" xfId="0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7" fillId="2" borderId="0" xfId="0" applyFont="1" applyFill="1"/>
    <xf numFmtId="0" fontId="8" fillId="2" borderId="0" xfId="0" applyFont="1" applyFill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4" borderId="4" xfId="0" applyFill="1" applyBorder="1" applyAlignment="1">
      <alignment horizontal="right"/>
    </xf>
    <xf numFmtId="0" fontId="0" fillId="4" borderId="5" xfId="0" applyFill="1" applyBorder="1" applyAlignment="1">
      <alignment horizontal="right"/>
    </xf>
    <xf numFmtId="0" fontId="0" fillId="2" borderId="10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0" fontId="0" fillId="2" borderId="2" xfId="0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10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6</xdr:row>
      <xdr:rowOff>200026</xdr:rowOff>
    </xdr:from>
    <xdr:to>
      <xdr:col>16</xdr:col>
      <xdr:colOff>152401</xdr:colOff>
      <xdr:row>18</xdr:row>
      <xdr:rowOff>28575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5848350" y="1390651"/>
          <a:ext cx="1390651" cy="2371724"/>
          <a:chOff x="5943600" y="800101"/>
          <a:chExt cx="1084003" cy="2474932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6057900" y="800101"/>
            <a:ext cx="857250" cy="2057399"/>
            <a:chOff x="6819900" y="762001"/>
            <a:chExt cx="1209675" cy="1847849"/>
          </a:xfrm>
        </xdr:grpSpPr>
        <xdr:sp macro="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>
            <a:xfrm>
              <a:off x="6819900" y="762001"/>
              <a:ext cx="1209675" cy="1847849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3" name="Oval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7034579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8" name="Oval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7282229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9" name="Oval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7529879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748954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1" name="Oval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034579" y="22193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2" name="Oval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7282229" y="22193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3" name="Oval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529879" y="22193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4" name="Oval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7748954" y="22193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6" name="Oval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025054" y="9620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7" name="Oval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7272704" y="9620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8" name="Oval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7520354" y="9620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7739429" y="9620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</xdr:grpSp>
      <xdr:cxnSp macro="">
        <xdr:nvCxnSpPr>
          <xdr:cNvPr id="24" name="Straight Arrow Connector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CxnSpPr/>
        </xdr:nvCxnSpPr>
        <xdr:spPr>
          <a:xfrm rot="5400000">
            <a:off x="6117962" y="1728787"/>
            <a:ext cx="1819280" cy="2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Straight Arrow Connector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 rot="5400000">
            <a:off x="5800725" y="952498"/>
            <a:ext cx="285756" cy="5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Arrow Connector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CxnSpPr/>
        </xdr:nvCxnSpPr>
        <xdr:spPr>
          <a:xfrm>
            <a:off x="6048375" y="3273445"/>
            <a:ext cx="895350" cy="1588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161925</xdr:colOff>
      <xdr:row>6</xdr:row>
      <xdr:rowOff>0</xdr:rowOff>
    </xdr:from>
    <xdr:to>
      <xdr:col>13</xdr:col>
      <xdr:colOff>200025</xdr:colOff>
      <xdr:row>7</xdr:row>
      <xdr:rowOff>95250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rot="5400000" flipH="1" flipV="1">
          <a:off x="6238875" y="714375"/>
          <a:ext cx="323850" cy="381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276228</xdr:colOff>
      <xdr:row>14</xdr:row>
      <xdr:rowOff>123824</xdr:rowOff>
    </xdr:from>
    <xdr:to>
      <xdr:col>13</xdr:col>
      <xdr:colOff>38101</xdr:colOff>
      <xdr:row>15</xdr:row>
      <xdr:rowOff>66673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5943603" y="2466974"/>
          <a:ext cx="314323" cy="13334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7</xdr:row>
      <xdr:rowOff>1</xdr:rowOff>
    </xdr:from>
    <xdr:to>
      <xdr:col>16</xdr:col>
      <xdr:colOff>152401</xdr:colOff>
      <xdr:row>18</xdr:row>
      <xdr:rowOff>28575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6048375" y="1419226"/>
          <a:ext cx="1390651" cy="2343149"/>
          <a:chOff x="5943600" y="800101"/>
          <a:chExt cx="1084003" cy="2474932"/>
        </a:xfrm>
      </xdr:grpSpPr>
      <xdr:grpSp>
        <xdr:nvGrpSpPr>
          <xdr:cNvPr id="3" name="Group 19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6057900" y="800101"/>
            <a:ext cx="857250" cy="2057399"/>
            <a:chOff x="6819900" y="762001"/>
            <a:chExt cx="1209675" cy="1847849"/>
          </a:xfrm>
        </xdr:grpSpPr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6819900" y="762001"/>
              <a:ext cx="1209675" cy="1847849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8" name="Oval 2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7034579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9" name="Oval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>
              <a:off x="7282229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/>
          </xdr:nvSpPr>
          <xdr:spPr>
            <a:xfrm>
              <a:off x="7529879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1" name="Oval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>
            <a:xfrm>
              <a:off x="7748954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7" name="Oval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7126025" y="9620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8" name="Oval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>
            <a:xfrm>
              <a:off x="7373675" y="9620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/>
          </xdr:nvSpPr>
          <xdr:spPr>
            <a:xfrm>
              <a:off x="7592750" y="9620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</xdr:grp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CxnSpPr/>
        </xdr:nvCxnSpPr>
        <xdr:spPr>
          <a:xfrm rot="5400000">
            <a:off x="6117962" y="1728787"/>
            <a:ext cx="1819280" cy="2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 rot="5400000">
            <a:off x="5800725" y="952498"/>
            <a:ext cx="285756" cy="5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CxnSpPr/>
        </xdr:nvCxnSpPr>
        <xdr:spPr>
          <a:xfrm>
            <a:off x="6048375" y="3273445"/>
            <a:ext cx="895350" cy="1588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161925</xdr:colOff>
      <xdr:row>6</xdr:row>
      <xdr:rowOff>0</xdr:rowOff>
    </xdr:from>
    <xdr:to>
      <xdr:col>13</xdr:col>
      <xdr:colOff>200025</xdr:colOff>
      <xdr:row>7</xdr:row>
      <xdr:rowOff>95250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rot="5400000" flipH="1" flipV="1">
          <a:off x="6076950" y="1285875"/>
          <a:ext cx="323850" cy="381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276228</xdr:colOff>
      <xdr:row>14</xdr:row>
      <xdr:rowOff>123824</xdr:rowOff>
    </xdr:from>
    <xdr:to>
      <xdr:col>13</xdr:col>
      <xdr:colOff>38101</xdr:colOff>
      <xdr:row>15</xdr:row>
      <xdr:rowOff>66673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rot="10800000" flipV="1">
          <a:off x="5772153" y="3019424"/>
          <a:ext cx="323848" cy="13334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7</xdr:row>
      <xdr:rowOff>1</xdr:rowOff>
    </xdr:from>
    <xdr:to>
      <xdr:col>16</xdr:col>
      <xdr:colOff>152401</xdr:colOff>
      <xdr:row>18</xdr:row>
      <xdr:rowOff>28575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6204585" y="1341121"/>
          <a:ext cx="1423036" cy="2169794"/>
          <a:chOff x="5943600" y="800101"/>
          <a:chExt cx="1084003" cy="2474932"/>
        </a:xfrm>
      </xdr:grpSpPr>
      <xdr:grpSp>
        <xdr:nvGrpSpPr>
          <xdr:cNvPr id="3" name="Group 19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pSpPr/>
        </xdr:nvGrpSpPr>
        <xdr:grpSpPr>
          <a:xfrm>
            <a:off x="6057900" y="800101"/>
            <a:ext cx="857250" cy="2057399"/>
            <a:chOff x="6819900" y="762001"/>
            <a:chExt cx="1209675" cy="1847849"/>
          </a:xfrm>
        </xdr:grpSpPr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/>
          </xdr:nvSpPr>
          <xdr:spPr>
            <a:xfrm>
              <a:off x="6819900" y="762001"/>
              <a:ext cx="1209675" cy="1847849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8" name="Oval 2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/>
          </xdr:nvSpPr>
          <xdr:spPr>
            <a:xfrm>
              <a:off x="7034579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9" name="Oval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7282229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>
              <a:off x="7529879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1" name="Oval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/>
          </xdr:nvSpPr>
          <xdr:spPr>
            <a:xfrm>
              <a:off x="7748954" y="23717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7" name="Oval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7126025" y="9620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8" name="Oval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>
              <a:off x="7373675" y="9620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/>
          </xdr:nvSpPr>
          <xdr:spPr>
            <a:xfrm>
              <a:off x="7592750" y="962025"/>
              <a:ext cx="49457" cy="45719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</xdr:grp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rot="5400000">
            <a:off x="6117962" y="1728787"/>
            <a:ext cx="1819280" cy="2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rot="5400000">
            <a:off x="5800725" y="952498"/>
            <a:ext cx="285756" cy="5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CxnSpPr/>
        </xdr:nvCxnSpPr>
        <xdr:spPr>
          <a:xfrm>
            <a:off x="6048375" y="3273445"/>
            <a:ext cx="895350" cy="1588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161925</xdr:colOff>
      <xdr:row>6</xdr:row>
      <xdr:rowOff>0</xdr:rowOff>
    </xdr:from>
    <xdr:to>
      <xdr:col>13</xdr:col>
      <xdr:colOff>200025</xdr:colOff>
      <xdr:row>7</xdr:row>
      <xdr:rowOff>95250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 rot="5400000" flipH="1" flipV="1">
          <a:off x="6076950" y="1285875"/>
          <a:ext cx="323850" cy="381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276228</xdr:colOff>
      <xdr:row>14</xdr:row>
      <xdr:rowOff>123824</xdr:rowOff>
    </xdr:from>
    <xdr:to>
      <xdr:col>13</xdr:col>
      <xdr:colOff>38101</xdr:colOff>
      <xdr:row>15</xdr:row>
      <xdr:rowOff>66673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rot="10800000" flipV="1">
          <a:off x="5772153" y="3019424"/>
          <a:ext cx="323848" cy="13334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S31"/>
  <sheetViews>
    <sheetView topLeftCell="A14" workbookViewId="0">
      <selection activeCell="A31" sqref="A31:O31"/>
    </sheetView>
  </sheetViews>
  <sheetFormatPr defaultColWidth="9.109375" defaultRowHeight="14.4" x14ac:dyDescent="0.3"/>
  <cols>
    <col min="1" max="1" width="9.109375" style="1"/>
    <col min="2" max="2" width="4.109375" style="1" bestFit="1" customWidth="1"/>
    <col min="3" max="4" width="9.109375" style="1"/>
    <col min="5" max="5" width="11.109375" style="1" customWidth="1"/>
    <col min="6" max="6" width="6" style="1" bestFit="1" customWidth="1"/>
    <col min="7" max="8" width="9.109375" style="1"/>
    <col min="9" max="9" width="9.109375" style="1" customWidth="1"/>
    <col min="10" max="10" width="3" style="1" customWidth="1"/>
    <col min="11" max="11" width="3.33203125" style="1" customWidth="1"/>
    <col min="12" max="12" width="4.5546875" style="1" customWidth="1"/>
    <col min="13" max="13" width="3.88671875" style="1" bestFit="1" customWidth="1"/>
    <col min="14" max="15" width="3.109375" style="1" bestFit="1" customWidth="1"/>
    <col min="16" max="16" width="9.109375" style="1"/>
    <col min="17" max="18" width="3.109375" style="1" bestFit="1" customWidth="1"/>
    <col min="19" max="16384" width="9.109375" style="1"/>
  </cols>
  <sheetData>
    <row r="2" spans="1:19" ht="18" x14ac:dyDescent="0.35">
      <c r="A2" s="19" t="s">
        <v>0</v>
      </c>
    </row>
    <row r="4" spans="1:19" x14ac:dyDescent="0.3">
      <c r="A4" s="1" t="s">
        <v>1</v>
      </c>
    </row>
    <row r="6" spans="1:19" x14ac:dyDescent="0.3">
      <c r="A6" s="38" t="s">
        <v>27</v>
      </c>
      <c r="B6" s="39"/>
      <c r="C6" s="17" t="s">
        <v>28</v>
      </c>
      <c r="D6" s="17" t="s">
        <v>29</v>
      </c>
      <c r="E6" s="17" t="s">
        <v>30</v>
      </c>
      <c r="F6" s="17" t="s">
        <v>28</v>
      </c>
      <c r="G6" s="17" t="s">
        <v>29</v>
      </c>
      <c r="M6" s="2">
        <v>4</v>
      </c>
      <c r="N6" s="2" t="s">
        <v>10</v>
      </c>
      <c r="O6" s="2">
        <v>8</v>
      </c>
    </row>
    <row r="7" spans="1:19" ht="15.6" x14ac:dyDescent="0.3">
      <c r="A7" s="35" t="s">
        <v>4</v>
      </c>
      <c r="B7" s="35"/>
      <c r="C7" s="16">
        <f>L8</f>
        <v>2.5</v>
      </c>
      <c r="D7" s="16" t="s">
        <v>15</v>
      </c>
      <c r="E7" s="16" t="s">
        <v>12</v>
      </c>
      <c r="F7" s="16">
        <v>3600</v>
      </c>
      <c r="G7" s="16" t="s">
        <v>14</v>
      </c>
    </row>
    <row r="8" spans="1:19" ht="15.6" x14ac:dyDescent="0.3">
      <c r="A8" s="35" t="s">
        <v>3</v>
      </c>
      <c r="B8" s="35"/>
      <c r="C8" s="16">
        <f>P19</f>
        <v>15</v>
      </c>
      <c r="D8" s="16" t="s">
        <v>15</v>
      </c>
      <c r="E8" s="16" t="s">
        <v>5</v>
      </c>
      <c r="F8" s="16">
        <v>29000</v>
      </c>
      <c r="G8" s="16" t="s">
        <v>14</v>
      </c>
      <c r="K8" s="3" t="s">
        <v>4</v>
      </c>
      <c r="L8" s="1">
        <v>2.5</v>
      </c>
    </row>
    <row r="9" spans="1:19" x14ac:dyDescent="0.3">
      <c r="A9" s="35" t="s">
        <v>2</v>
      </c>
      <c r="B9" s="35"/>
      <c r="C9" s="16">
        <f>S12</f>
        <v>36</v>
      </c>
      <c r="D9" s="16" t="s">
        <v>15</v>
      </c>
      <c r="E9" s="16"/>
      <c r="F9" s="16"/>
      <c r="G9" s="16"/>
    </row>
    <row r="10" spans="1:19" ht="16.2" x14ac:dyDescent="0.3">
      <c r="A10" s="35" t="s">
        <v>7</v>
      </c>
      <c r="B10" s="35"/>
      <c r="C10" s="16">
        <v>4000</v>
      </c>
      <c r="D10" s="16" t="s">
        <v>13</v>
      </c>
      <c r="E10" s="16"/>
      <c r="F10" s="16"/>
      <c r="G10" s="16"/>
    </row>
    <row r="11" spans="1:19" ht="15.6" x14ac:dyDescent="0.3">
      <c r="A11" s="35" t="s">
        <v>6</v>
      </c>
      <c r="B11" s="35"/>
      <c r="C11" s="16">
        <v>60000</v>
      </c>
      <c r="D11" s="16" t="s">
        <v>13</v>
      </c>
      <c r="E11" s="16"/>
      <c r="F11" s="16"/>
      <c r="G11" s="16"/>
    </row>
    <row r="12" spans="1:19" ht="16.2" x14ac:dyDescent="0.3">
      <c r="A12" s="35" t="s">
        <v>8</v>
      </c>
      <c r="B12" s="35"/>
      <c r="C12" s="16">
        <f>J16*((3.14/4)*(L16/8)^2)</f>
        <v>9.8125</v>
      </c>
      <c r="D12" s="16" t="s">
        <v>11</v>
      </c>
      <c r="E12" s="16"/>
      <c r="F12" s="16"/>
      <c r="G12" s="16"/>
      <c r="R12" s="3" t="s">
        <v>2</v>
      </c>
      <c r="S12" s="9">
        <v>36</v>
      </c>
    </row>
    <row r="13" spans="1:19" ht="16.2" x14ac:dyDescent="0.3">
      <c r="A13" s="35" t="s">
        <v>9</v>
      </c>
      <c r="B13" s="37"/>
      <c r="C13" s="11">
        <f>M6*((3.14/4)*(O6/8)^2)</f>
        <v>3.14</v>
      </c>
      <c r="D13" s="11" t="s">
        <v>11</v>
      </c>
      <c r="E13" s="11"/>
      <c r="F13" s="11"/>
      <c r="G13" s="11"/>
    </row>
    <row r="14" spans="1:19" x14ac:dyDescent="0.3">
      <c r="B14" s="15"/>
      <c r="C14" s="15"/>
      <c r="D14" s="15"/>
      <c r="E14" s="15"/>
      <c r="F14" s="15"/>
      <c r="G14" s="15"/>
    </row>
    <row r="15" spans="1:19" x14ac:dyDescent="0.3">
      <c r="B15" s="14"/>
      <c r="C15" s="14"/>
      <c r="D15" s="14"/>
      <c r="E15" s="14"/>
      <c r="F15" s="14"/>
      <c r="G15" s="14"/>
    </row>
    <row r="16" spans="1:19" ht="15" thickBot="1" x14ac:dyDescent="0.35">
      <c r="J16" s="2">
        <v>8</v>
      </c>
      <c r="K16" s="2" t="s">
        <v>10</v>
      </c>
      <c r="L16" s="2">
        <v>10</v>
      </c>
    </row>
    <row r="17" spans="1:16" ht="16.2" thickBot="1" x14ac:dyDescent="0.35">
      <c r="A17" s="6" t="s">
        <v>16</v>
      </c>
      <c r="B17" s="7"/>
      <c r="C17" s="7"/>
      <c r="D17" s="7"/>
      <c r="E17" s="8"/>
    </row>
    <row r="19" spans="1:16" ht="15.6" x14ac:dyDescent="0.35">
      <c r="D19" s="23" t="s">
        <v>17</v>
      </c>
      <c r="E19" s="23"/>
      <c r="F19" s="23"/>
      <c r="G19" s="10">
        <f>ROUND((C11/(F8*1000)),4)</f>
        <v>2.0999999999999999E-3</v>
      </c>
      <c r="O19" s="3" t="s">
        <v>3</v>
      </c>
      <c r="P19" s="9">
        <v>15</v>
      </c>
    </row>
    <row r="20" spans="1:16" ht="16.8" x14ac:dyDescent="0.35">
      <c r="D20" s="24" t="s">
        <v>18</v>
      </c>
      <c r="E20" s="24"/>
      <c r="F20" s="24"/>
      <c r="G20" s="4"/>
    </row>
    <row r="21" spans="1:16" ht="16.8" x14ac:dyDescent="0.35">
      <c r="D21" s="25" t="s">
        <v>19</v>
      </c>
      <c r="E21" s="25"/>
      <c r="F21" s="25"/>
      <c r="G21" s="5">
        <f>C12-C13</f>
        <v>6.6724999999999994</v>
      </c>
    </row>
    <row r="22" spans="1:16" x14ac:dyDescent="0.3">
      <c r="D22" s="26" t="s">
        <v>20</v>
      </c>
      <c r="E22" s="26"/>
      <c r="F22" s="26"/>
      <c r="G22" s="10">
        <f>(G21*C11)/(0.85*C10*C8)</f>
        <v>7.8499999999999988</v>
      </c>
    </row>
    <row r="23" spans="1:16" x14ac:dyDescent="0.3">
      <c r="D23" s="26" t="s">
        <v>21</v>
      </c>
      <c r="E23" s="26"/>
      <c r="F23" s="26"/>
      <c r="G23" s="10">
        <f>ROUND((neutralaxis(C10,G22)),2)</f>
        <v>9.24</v>
      </c>
    </row>
    <row r="24" spans="1:16" ht="15.6" x14ac:dyDescent="0.35">
      <c r="D24" s="23" t="s">
        <v>22</v>
      </c>
      <c r="E24" s="23"/>
      <c r="F24" s="23"/>
      <c r="G24" s="10">
        <f>ROUND((0.003*((G23-C7)/G23)),4)</f>
        <v>2.2000000000000001E-3</v>
      </c>
    </row>
    <row r="26" spans="1:16" x14ac:dyDescent="0.3">
      <c r="A26" s="36" t="s">
        <v>26</v>
      </c>
      <c r="B26" s="36"/>
      <c r="C26" s="36"/>
      <c r="D26" s="36"/>
      <c r="E26" s="36"/>
      <c r="F26" s="36"/>
      <c r="G26" s="35" t="s">
        <v>25</v>
      </c>
      <c r="H26" s="29" t="str">
        <f>IF(G19&lt;G24," es&gt;ey, compression steel yields"," es&lt;ey, compression doesn’t steel yield")</f>
        <v xml:space="preserve"> es&gt;ey, compression steel yields</v>
      </c>
      <c r="I26" s="30"/>
      <c r="J26" s="30"/>
      <c r="K26" s="30"/>
      <c r="L26" s="30"/>
      <c r="M26" s="31"/>
      <c r="N26" s="35">
        <f>IF(G24&gt;G19,1,2)</f>
        <v>1</v>
      </c>
      <c r="O26" s="35"/>
    </row>
    <row r="27" spans="1:16" x14ac:dyDescent="0.3">
      <c r="A27" s="36"/>
      <c r="B27" s="36"/>
      <c r="C27" s="36"/>
      <c r="D27" s="36"/>
      <c r="E27" s="36"/>
      <c r="F27" s="36"/>
      <c r="G27" s="35"/>
      <c r="H27" s="32"/>
      <c r="I27" s="33"/>
      <c r="J27" s="33"/>
      <c r="K27" s="33"/>
      <c r="L27" s="33"/>
      <c r="M27" s="34"/>
      <c r="N27" s="35"/>
      <c r="O27" s="35"/>
    </row>
    <row r="29" spans="1:16" ht="15" thickBot="1" x14ac:dyDescent="0.35"/>
    <row r="30" spans="1:16" ht="16.2" thickBot="1" x14ac:dyDescent="0.4">
      <c r="A30" s="27" t="s">
        <v>24</v>
      </c>
      <c r="B30" s="28"/>
      <c r="C30" s="28"/>
      <c r="D30" s="28"/>
      <c r="E30" s="28"/>
      <c r="F30" s="28"/>
      <c r="G30" s="28"/>
      <c r="H30" s="12">
        <f>moment(N26,C12,C13,C10,C11,C9,C8,C7,G22,G23,F8,G24)</f>
        <v>1436.44696875</v>
      </c>
      <c r="I30" s="12" t="s">
        <v>23</v>
      </c>
      <c r="J30" s="12"/>
      <c r="K30" s="12"/>
      <c r="L30" s="12"/>
      <c r="M30" s="12"/>
      <c r="N30" s="12"/>
      <c r="O30" s="13"/>
    </row>
    <row r="31" spans="1:16" x14ac:dyDescent="0.3">
      <c r="A31" s="22" t="s">
        <v>33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</sheetData>
  <mergeCells count="20">
    <mergeCell ref="A12:B12"/>
    <mergeCell ref="A13:B13"/>
    <mergeCell ref="A6:B6"/>
    <mergeCell ref="A7:B7"/>
    <mergeCell ref="A8:B8"/>
    <mergeCell ref="A9:B9"/>
    <mergeCell ref="A10:B10"/>
    <mergeCell ref="A11:B11"/>
    <mergeCell ref="A31:O31"/>
    <mergeCell ref="D19:F19"/>
    <mergeCell ref="D20:F20"/>
    <mergeCell ref="D21:F21"/>
    <mergeCell ref="D22:F22"/>
    <mergeCell ref="D23:F23"/>
    <mergeCell ref="A30:G30"/>
    <mergeCell ref="H26:M27"/>
    <mergeCell ref="G26:G27"/>
    <mergeCell ref="N26:O27"/>
    <mergeCell ref="D24:F24"/>
    <mergeCell ref="A26:F27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S31"/>
  <sheetViews>
    <sheetView topLeftCell="A9" workbookViewId="0">
      <selection activeCell="A31" sqref="A31:O31"/>
    </sheetView>
  </sheetViews>
  <sheetFormatPr defaultColWidth="9.109375" defaultRowHeight="14.4" x14ac:dyDescent="0.3"/>
  <cols>
    <col min="1" max="1" width="9.109375" style="1"/>
    <col min="2" max="2" width="4.109375" style="1" bestFit="1" customWidth="1"/>
    <col min="3" max="4" width="9.109375" style="1"/>
    <col min="5" max="5" width="11.109375" style="1" customWidth="1"/>
    <col min="6" max="6" width="9" style="1" bestFit="1" customWidth="1"/>
    <col min="7" max="8" width="9.109375" style="1"/>
    <col min="9" max="9" width="9.109375" style="1" customWidth="1"/>
    <col min="10" max="10" width="3" style="1" customWidth="1"/>
    <col min="11" max="11" width="3.33203125" style="1" customWidth="1"/>
    <col min="12" max="12" width="4.5546875" style="1" customWidth="1"/>
    <col min="13" max="13" width="3.88671875" style="1" bestFit="1" customWidth="1"/>
    <col min="14" max="15" width="3.109375" style="1" bestFit="1" customWidth="1"/>
    <col min="16" max="16" width="9.109375" style="1"/>
    <col min="17" max="18" width="3.109375" style="1" bestFit="1" customWidth="1"/>
    <col min="19" max="16384" width="9.109375" style="1"/>
  </cols>
  <sheetData>
    <row r="2" spans="1:19" ht="18" x14ac:dyDescent="0.35">
      <c r="A2" s="18" t="s">
        <v>31</v>
      </c>
      <c r="B2" s="18"/>
    </row>
    <row r="4" spans="1:19" x14ac:dyDescent="0.3">
      <c r="A4" s="1" t="s">
        <v>1</v>
      </c>
    </row>
    <row r="6" spans="1:19" x14ac:dyDescent="0.3">
      <c r="A6" s="38" t="s">
        <v>27</v>
      </c>
      <c r="B6" s="39"/>
      <c r="C6" s="17" t="s">
        <v>28</v>
      </c>
      <c r="D6" s="17" t="s">
        <v>29</v>
      </c>
      <c r="E6" s="17" t="s">
        <v>30</v>
      </c>
      <c r="F6" s="17" t="s">
        <v>28</v>
      </c>
      <c r="G6" s="17" t="s">
        <v>29</v>
      </c>
      <c r="M6" s="2">
        <v>3</v>
      </c>
      <c r="N6" s="2" t="s">
        <v>10</v>
      </c>
      <c r="O6" s="2">
        <v>8</v>
      </c>
    </row>
    <row r="7" spans="1:19" ht="15.6" x14ac:dyDescent="0.3">
      <c r="A7" s="35" t="s">
        <v>4</v>
      </c>
      <c r="B7" s="35"/>
      <c r="C7" s="16">
        <f>L8</f>
        <v>2.5</v>
      </c>
      <c r="D7" s="16" t="s">
        <v>15</v>
      </c>
      <c r="E7" s="16" t="s">
        <v>12</v>
      </c>
      <c r="F7" s="16">
        <v>3600000</v>
      </c>
      <c r="G7" s="20" t="s">
        <v>13</v>
      </c>
    </row>
    <row r="8" spans="1:19" ht="15.6" x14ac:dyDescent="0.3">
      <c r="A8" s="35" t="s">
        <v>3</v>
      </c>
      <c r="B8" s="35"/>
      <c r="C8" s="16">
        <f>P19</f>
        <v>15</v>
      </c>
      <c r="D8" s="16" t="s">
        <v>15</v>
      </c>
      <c r="E8" s="16" t="s">
        <v>5</v>
      </c>
      <c r="F8" s="16">
        <v>29000000</v>
      </c>
      <c r="G8" s="20" t="s">
        <v>13</v>
      </c>
      <c r="K8" s="3" t="s">
        <v>4</v>
      </c>
      <c r="L8" s="1">
        <v>2.5</v>
      </c>
    </row>
    <row r="9" spans="1:19" x14ac:dyDescent="0.3">
      <c r="A9" s="35" t="s">
        <v>2</v>
      </c>
      <c r="B9" s="35"/>
      <c r="C9" s="16">
        <f>S12</f>
        <v>32</v>
      </c>
      <c r="D9" s="16" t="s">
        <v>15</v>
      </c>
      <c r="E9" s="16"/>
      <c r="F9" s="16"/>
      <c r="G9" s="16"/>
    </row>
    <row r="10" spans="1:19" ht="16.2" x14ac:dyDescent="0.3">
      <c r="A10" s="35" t="s">
        <v>7</v>
      </c>
      <c r="B10" s="35"/>
      <c r="C10" s="16">
        <v>4000</v>
      </c>
      <c r="D10" s="16" t="s">
        <v>13</v>
      </c>
      <c r="E10" s="16"/>
      <c r="F10" s="16"/>
      <c r="G10" s="16"/>
    </row>
    <row r="11" spans="1:19" ht="15.6" x14ac:dyDescent="0.3">
      <c r="A11" s="35" t="s">
        <v>6</v>
      </c>
      <c r="B11" s="35"/>
      <c r="C11" s="16">
        <v>60000</v>
      </c>
      <c r="D11" s="16" t="s">
        <v>13</v>
      </c>
      <c r="E11" s="16"/>
      <c r="F11" s="16"/>
      <c r="G11" s="16"/>
    </row>
    <row r="12" spans="1:19" ht="16.2" x14ac:dyDescent="0.3">
      <c r="A12" s="35" t="s">
        <v>8</v>
      </c>
      <c r="B12" s="35"/>
      <c r="C12" s="16">
        <f>ROUND((J16*((3.14/4)*(L16/8)^2)),3)</f>
        <v>4.9059999999999997</v>
      </c>
      <c r="D12" s="16" t="s">
        <v>11</v>
      </c>
      <c r="E12" s="16"/>
      <c r="F12" s="16"/>
      <c r="G12" s="16"/>
      <c r="R12" s="3" t="s">
        <v>2</v>
      </c>
      <c r="S12" s="9">
        <v>32</v>
      </c>
    </row>
    <row r="13" spans="1:19" ht="16.2" x14ac:dyDescent="0.3">
      <c r="A13" s="35" t="s">
        <v>9</v>
      </c>
      <c r="B13" s="37"/>
      <c r="C13" s="11">
        <f>M6*((3.14/4)*(O6/8)^2)</f>
        <v>2.355</v>
      </c>
      <c r="D13" s="11" t="s">
        <v>11</v>
      </c>
      <c r="E13" s="11"/>
      <c r="F13" s="11"/>
      <c r="G13" s="11"/>
    </row>
    <row r="14" spans="1:19" x14ac:dyDescent="0.3">
      <c r="B14" s="15"/>
      <c r="C14" s="15"/>
      <c r="D14" s="15"/>
      <c r="E14" s="15"/>
      <c r="F14" s="15"/>
      <c r="G14" s="15"/>
    </row>
    <row r="15" spans="1:19" x14ac:dyDescent="0.3">
      <c r="B15" s="14"/>
      <c r="C15" s="14"/>
      <c r="D15" s="14"/>
      <c r="E15" s="14"/>
      <c r="F15" s="14"/>
      <c r="G15" s="14"/>
    </row>
    <row r="16" spans="1:19" ht="15" thickBot="1" x14ac:dyDescent="0.35">
      <c r="J16" s="2">
        <v>4</v>
      </c>
      <c r="K16" s="2" t="s">
        <v>10</v>
      </c>
      <c r="L16" s="2">
        <v>10</v>
      </c>
    </row>
    <row r="17" spans="1:16" ht="16.2" thickBot="1" x14ac:dyDescent="0.35">
      <c r="A17" s="6" t="s">
        <v>16</v>
      </c>
      <c r="B17" s="7"/>
      <c r="C17" s="7"/>
      <c r="D17" s="7"/>
      <c r="E17" s="8"/>
    </row>
    <row r="19" spans="1:16" ht="15.6" x14ac:dyDescent="0.35">
      <c r="D19" s="23" t="s">
        <v>17</v>
      </c>
      <c r="E19" s="23"/>
      <c r="F19" s="23"/>
      <c r="G19" s="10">
        <f>ROUND((C11/(F8)),4)</f>
        <v>2.0999999999999999E-3</v>
      </c>
      <c r="O19" s="3" t="s">
        <v>3</v>
      </c>
      <c r="P19" s="9">
        <v>15</v>
      </c>
    </row>
    <row r="20" spans="1:16" ht="16.8" x14ac:dyDescent="0.35">
      <c r="D20" s="24" t="s">
        <v>18</v>
      </c>
      <c r="E20" s="24"/>
      <c r="F20" s="24"/>
      <c r="G20" s="4"/>
    </row>
    <row r="21" spans="1:16" ht="16.8" x14ac:dyDescent="0.35">
      <c r="D21" s="25" t="s">
        <v>19</v>
      </c>
      <c r="E21" s="25"/>
      <c r="F21" s="25"/>
      <c r="G21" s="5">
        <f>ROUND((C12-C13),2)</f>
        <v>2.5499999999999998</v>
      </c>
    </row>
    <row r="22" spans="1:16" x14ac:dyDescent="0.3">
      <c r="D22" s="26" t="s">
        <v>20</v>
      </c>
      <c r="E22" s="26"/>
      <c r="F22" s="26"/>
      <c r="G22" s="10">
        <f>ROUND(((G21*C11)/(0.85*C10*C8)),2)</f>
        <v>3</v>
      </c>
    </row>
    <row r="23" spans="1:16" x14ac:dyDescent="0.3">
      <c r="D23" s="26" t="s">
        <v>21</v>
      </c>
      <c r="E23" s="26"/>
      <c r="F23" s="26"/>
      <c r="G23" s="10">
        <f>ROUND((neutralaxis(C10,G22)),2)</f>
        <v>3.53</v>
      </c>
    </row>
    <row r="24" spans="1:16" ht="15.6" x14ac:dyDescent="0.35">
      <c r="D24" s="23" t="s">
        <v>22</v>
      </c>
      <c r="E24" s="23"/>
      <c r="F24" s="23"/>
      <c r="G24" s="10">
        <f>ROUND((0.003*((G23-C7)/G23)),4)</f>
        <v>8.9999999999999998E-4</v>
      </c>
    </row>
    <row r="26" spans="1:16" x14ac:dyDescent="0.3">
      <c r="A26" s="36" t="s">
        <v>26</v>
      </c>
      <c r="B26" s="36"/>
      <c r="C26" s="36"/>
      <c r="D26" s="36"/>
      <c r="E26" s="36"/>
      <c r="F26" s="36"/>
      <c r="G26" s="35" t="s">
        <v>25</v>
      </c>
      <c r="H26" s="29" t="str">
        <f>IF(G19&lt;G24," es&gt;ey, compression steel yields"," es&lt;ey, compression doesn’t steel yield")</f>
        <v xml:space="preserve"> es&lt;ey, compression doesn’t steel yield</v>
      </c>
      <c r="I26" s="30"/>
      <c r="J26" s="30"/>
      <c r="K26" s="30"/>
      <c r="L26" s="30"/>
      <c r="M26" s="31"/>
      <c r="N26" s="35">
        <f>IF(G24&gt;G19,1,2)</f>
        <v>2</v>
      </c>
      <c r="O26" s="35"/>
    </row>
    <row r="27" spans="1:16" x14ac:dyDescent="0.3">
      <c r="A27" s="36"/>
      <c r="B27" s="36"/>
      <c r="C27" s="36"/>
      <c r="D27" s="36"/>
      <c r="E27" s="36"/>
      <c r="F27" s="36"/>
      <c r="G27" s="35"/>
      <c r="H27" s="32"/>
      <c r="I27" s="33"/>
      <c r="J27" s="33"/>
      <c r="K27" s="33"/>
      <c r="L27" s="33"/>
      <c r="M27" s="34"/>
      <c r="N27" s="35"/>
      <c r="O27" s="35"/>
    </row>
    <row r="29" spans="1:16" ht="15" thickBot="1" x14ac:dyDescent="0.35"/>
    <row r="30" spans="1:16" ht="16.2" thickBot="1" x14ac:dyDescent="0.4">
      <c r="A30" s="27" t="s">
        <v>24</v>
      </c>
      <c r="B30" s="28"/>
      <c r="C30" s="28"/>
      <c r="D30" s="28"/>
      <c r="E30" s="28"/>
      <c r="F30" s="28"/>
      <c r="G30" s="28"/>
      <c r="H30" s="12">
        <f>moment(N26,C12,C13,C10,C11,C9,C8,C7,G22,G23,F8,G24)</f>
        <v>659.09462864440013</v>
      </c>
      <c r="I30" s="12" t="s">
        <v>23</v>
      </c>
      <c r="J30" s="12"/>
      <c r="K30" s="12"/>
      <c r="L30" s="12"/>
      <c r="M30" s="12"/>
      <c r="N30" s="12"/>
      <c r="O30" s="13"/>
    </row>
    <row r="31" spans="1:16" x14ac:dyDescent="0.3">
      <c r="A31" s="22" t="s">
        <v>33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</sheetData>
  <mergeCells count="20">
    <mergeCell ref="D24:F24"/>
    <mergeCell ref="A26:F27"/>
    <mergeCell ref="G26:G27"/>
    <mergeCell ref="A11:B11"/>
    <mergeCell ref="A31:O31"/>
    <mergeCell ref="H26:M27"/>
    <mergeCell ref="N26:O27"/>
    <mergeCell ref="A12:B12"/>
    <mergeCell ref="A13:B13"/>
    <mergeCell ref="D19:F19"/>
    <mergeCell ref="D20:F20"/>
    <mergeCell ref="D21:F21"/>
    <mergeCell ref="D22:F22"/>
    <mergeCell ref="A30:G30"/>
    <mergeCell ref="D23:F23"/>
    <mergeCell ref="A6:B6"/>
    <mergeCell ref="A7:B7"/>
    <mergeCell ref="A8:B8"/>
    <mergeCell ref="A9:B9"/>
    <mergeCell ref="A10:B10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1"/>
  <sheetViews>
    <sheetView tabSelected="1" topLeftCell="A2" workbookViewId="0">
      <selection activeCell="S13" sqref="S13"/>
    </sheetView>
  </sheetViews>
  <sheetFormatPr defaultColWidth="9.109375" defaultRowHeight="14.4" x14ac:dyDescent="0.3"/>
  <cols>
    <col min="1" max="1" width="9.109375" style="1"/>
    <col min="2" max="2" width="4.109375" style="1" bestFit="1" customWidth="1"/>
    <col min="3" max="4" width="9.109375" style="1"/>
    <col min="5" max="5" width="11.109375" style="1" customWidth="1"/>
    <col min="6" max="6" width="9" style="1" bestFit="1" customWidth="1"/>
    <col min="7" max="7" width="9.109375" style="1"/>
    <col min="8" max="9" width="9.109375" style="1" customWidth="1"/>
    <col min="10" max="10" width="3" style="1" customWidth="1"/>
    <col min="11" max="11" width="3.33203125" style="1" customWidth="1"/>
    <col min="12" max="12" width="4.5546875" style="1" customWidth="1"/>
    <col min="13" max="13" width="3.88671875" style="1" bestFit="1" customWidth="1"/>
    <col min="14" max="15" width="3.109375" style="1" bestFit="1" customWidth="1"/>
    <col min="16" max="16" width="9.109375" style="1"/>
    <col min="17" max="18" width="3.109375" style="1" bestFit="1" customWidth="1"/>
    <col min="19" max="16384" width="9.109375" style="1"/>
  </cols>
  <sheetData>
    <row r="2" spans="1:19" ht="18" x14ac:dyDescent="0.35">
      <c r="A2" s="18" t="s">
        <v>32</v>
      </c>
    </row>
    <row r="3" spans="1:19" x14ac:dyDescent="0.3">
      <c r="M3" s="1" t="s">
        <v>34</v>
      </c>
    </row>
    <row r="4" spans="1:19" x14ac:dyDescent="0.3">
      <c r="A4" s="40" t="s">
        <v>35</v>
      </c>
    </row>
    <row r="6" spans="1:19" x14ac:dyDescent="0.3">
      <c r="A6" s="38" t="s">
        <v>27</v>
      </c>
      <c r="B6" s="39"/>
      <c r="C6" s="17" t="s">
        <v>28</v>
      </c>
      <c r="D6" s="17" t="s">
        <v>29</v>
      </c>
      <c r="E6" s="17" t="s">
        <v>30</v>
      </c>
      <c r="F6" s="17" t="s">
        <v>28</v>
      </c>
      <c r="G6" s="17" t="s">
        <v>29</v>
      </c>
      <c r="M6" s="2">
        <v>3</v>
      </c>
      <c r="N6" s="2" t="s">
        <v>10</v>
      </c>
      <c r="O6" s="2">
        <v>8</v>
      </c>
    </row>
    <row r="7" spans="1:19" ht="15.6" x14ac:dyDescent="0.3">
      <c r="A7" s="35" t="s">
        <v>4</v>
      </c>
      <c r="B7" s="35"/>
      <c r="C7" s="16">
        <f>L8</f>
        <v>2.5</v>
      </c>
      <c r="D7" s="16" t="s">
        <v>15</v>
      </c>
      <c r="E7" s="16" t="s">
        <v>12</v>
      </c>
      <c r="F7" s="16">
        <v>3600000</v>
      </c>
      <c r="G7" s="21" t="s">
        <v>13</v>
      </c>
    </row>
    <row r="8" spans="1:19" ht="15.6" x14ac:dyDescent="0.3">
      <c r="A8" s="35" t="s">
        <v>3</v>
      </c>
      <c r="B8" s="35"/>
      <c r="C8" s="16">
        <f>P19</f>
        <v>15</v>
      </c>
      <c r="D8" s="16" t="s">
        <v>15</v>
      </c>
      <c r="E8" s="16" t="s">
        <v>5</v>
      </c>
      <c r="F8" s="16">
        <v>29000000</v>
      </c>
      <c r="G8" s="21" t="s">
        <v>13</v>
      </c>
      <c r="K8" s="3" t="s">
        <v>4</v>
      </c>
      <c r="L8" s="1">
        <v>2.5</v>
      </c>
    </row>
    <row r="9" spans="1:19" x14ac:dyDescent="0.3">
      <c r="A9" s="35" t="s">
        <v>2</v>
      </c>
      <c r="B9" s="35"/>
      <c r="C9" s="16">
        <f>S12</f>
        <v>30</v>
      </c>
      <c r="D9" s="16" t="s">
        <v>15</v>
      </c>
      <c r="E9" s="16"/>
      <c r="F9" s="16"/>
      <c r="G9" s="16"/>
    </row>
    <row r="10" spans="1:19" ht="16.2" x14ac:dyDescent="0.3">
      <c r="A10" s="35" t="s">
        <v>7</v>
      </c>
      <c r="B10" s="35"/>
      <c r="C10" s="16">
        <v>4000</v>
      </c>
      <c r="D10" s="16" t="s">
        <v>13</v>
      </c>
      <c r="E10" s="16"/>
      <c r="F10" s="16"/>
      <c r="G10" s="16"/>
    </row>
    <row r="11" spans="1:19" ht="15.6" x14ac:dyDescent="0.3">
      <c r="A11" s="35" t="s">
        <v>6</v>
      </c>
      <c r="B11" s="35"/>
      <c r="C11" s="16">
        <v>60000</v>
      </c>
      <c r="D11" s="16" t="s">
        <v>13</v>
      </c>
      <c r="E11" s="16"/>
      <c r="F11" s="16"/>
      <c r="G11" s="16"/>
    </row>
    <row r="12" spans="1:19" ht="16.2" x14ac:dyDescent="0.3">
      <c r="A12" s="35" t="s">
        <v>8</v>
      </c>
      <c r="B12" s="35"/>
      <c r="C12" s="16">
        <f>J16*((3.14/4)*(L16/8)^2)</f>
        <v>5.9365625</v>
      </c>
      <c r="D12" s="16" t="s">
        <v>11</v>
      </c>
      <c r="E12" s="16"/>
      <c r="F12" s="16"/>
      <c r="G12" s="16"/>
      <c r="R12" s="3" t="s">
        <v>2</v>
      </c>
      <c r="S12" s="9">
        <v>30</v>
      </c>
    </row>
    <row r="13" spans="1:19" ht="16.2" x14ac:dyDescent="0.3">
      <c r="A13" s="35" t="s">
        <v>9</v>
      </c>
      <c r="B13" s="37"/>
      <c r="C13" s="11">
        <f>M6*((3.14/4)*(O6/8)^2)</f>
        <v>2.355</v>
      </c>
      <c r="D13" s="11" t="s">
        <v>11</v>
      </c>
      <c r="E13" s="11"/>
      <c r="F13" s="11"/>
      <c r="G13" s="11"/>
    </row>
    <row r="14" spans="1:19" x14ac:dyDescent="0.3">
      <c r="B14" s="15"/>
      <c r="C14" s="15"/>
      <c r="D14" s="15"/>
      <c r="E14" s="15"/>
      <c r="F14" s="15"/>
      <c r="G14" s="15"/>
    </row>
    <row r="15" spans="1:19" x14ac:dyDescent="0.3">
      <c r="B15" s="14"/>
      <c r="C15" s="14"/>
      <c r="D15" s="14"/>
      <c r="E15" s="14"/>
      <c r="F15" s="14"/>
      <c r="G15" s="14"/>
    </row>
    <row r="16" spans="1:19" ht="15" thickBot="1" x14ac:dyDescent="0.35">
      <c r="J16" s="2">
        <v>4</v>
      </c>
      <c r="K16" s="2" t="s">
        <v>10</v>
      </c>
      <c r="L16" s="2">
        <v>11</v>
      </c>
    </row>
    <row r="17" spans="1:16" ht="16.2" thickBot="1" x14ac:dyDescent="0.35">
      <c r="A17" s="6" t="s">
        <v>16</v>
      </c>
      <c r="B17" s="7"/>
      <c r="C17" s="7"/>
      <c r="D17" s="7"/>
      <c r="E17" s="8"/>
    </row>
    <row r="19" spans="1:16" ht="15.6" x14ac:dyDescent="0.35">
      <c r="D19" s="23" t="s">
        <v>17</v>
      </c>
      <c r="E19" s="23"/>
      <c r="F19" s="23"/>
      <c r="G19" s="10">
        <f>ROUND((C11/(F8)),4)</f>
        <v>2.0999999999999999E-3</v>
      </c>
      <c r="O19" s="3" t="s">
        <v>3</v>
      </c>
      <c r="P19" s="9">
        <v>15</v>
      </c>
    </row>
    <row r="20" spans="1:16" ht="16.8" x14ac:dyDescent="0.35">
      <c r="D20" s="24" t="s">
        <v>18</v>
      </c>
      <c r="E20" s="24"/>
      <c r="F20" s="24"/>
      <c r="G20" s="4"/>
    </row>
    <row r="21" spans="1:16" ht="16.8" x14ac:dyDescent="0.35">
      <c r="D21" s="25" t="s">
        <v>19</v>
      </c>
      <c r="E21" s="25"/>
      <c r="F21" s="25"/>
      <c r="G21" s="5">
        <f>C12-C13</f>
        <v>3.5815625</v>
      </c>
    </row>
    <row r="22" spans="1:16" x14ac:dyDescent="0.3">
      <c r="D22" s="26" t="s">
        <v>20</v>
      </c>
      <c r="E22" s="26"/>
      <c r="F22" s="26"/>
      <c r="G22" s="10">
        <f>(G21*C11)/(0.85*C10*C8)</f>
        <v>4.2136029411764708</v>
      </c>
    </row>
    <row r="23" spans="1:16" x14ac:dyDescent="0.3">
      <c r="D23" s="26" t="s">
        <v>21</v>
      </c>
      <c r="E23" s="26"/>
      <c r="F23" s="26"/>
      <c r="G23" s="10">
        <f>ROUND((neutralaxis(C10,G22)),2)</f>
        <v>4.96</v>
      </c>
    </row>
    <row r="24" spans="1:16" ht="15.6" x14ac:dyDescent="0.35">
      <c r="D24" s="23" t="s">
        <v>22</v>
      </c>
      <c r="E24" s="23"/>
      <c r="F24" s="23"/>
      <c r="G24" s="10">
        <f>ROUND((0.003*((G23-C7)/G23)),4)</f>
        <v>1.5E-3</v>
      </c>
    </row>
    <row r="26" spans="1:16" x14ac:dyDescent="0.3">
      <c r="A26" s="36" t="s">
        <v>26</v>
      </c>
      <c r="B26" s="36"/>
      <c r="C26" s="36"/>
      <c r="D26" s="36"/>
      <c r="E26" s="36"/>
      <c r="F26" s="36"/>
      <c r="G26" s="35" t="s">
        <v>25</v>
      </c>
      <c r="H26" s="29" t="str">
        <f>IF(G19&lt;G24," es&gt;ey, compression steel yields"," es&lt;ey, compression doesn’t steel yield")</f>
        <v xml:space="preserve"> es&lt;ey, compression doesn’t steel yield</v>
      </c>
      <c r="I26" s="30"/>
      <c r="J26" s="30"/>
      <c r="K26" s="30"/>
      <c r="L26" s="30"/>
      <c r="M26" s="31"/>
      <c r="N26" s="35">
        <f>IF(G24&gt;G19,1,2)</f>
        <v>2</v>
      </c>
      <c r="O26" s="35"/>
    </row>
    <row r="27" spans="1:16" x14ac:dyDescent="0.3">
      <c r="A27" s="36"/>
      <c r="B27" s="36"/>
      <c r="C27" s="36"/>
      <c r="D27" s="36"/>
      <c r="E27" s="36"/>
      <c r="F27" s="36"/>
      <c r="G27" s="35"/>
      <c r="H27" s="32"/>
      <c r="I27" s="33"/>
      <c r="J27" s="33"/>
      <c r="K27" s="33"/>
      <c r="L27" s="33"/>
      <c r="M27" s="34"/>
      <c r="N27" s="35"/>
      <c r="O27" s="35"/>
    </row>
    <row r="29" spans="1:16" ht="15" thickBot="1" x14ac:dyDescent="0.35"/>
    <row r="30" spans="1:16" ht="16.2" thickBot="1" x14ac:dyDescent="0.4">
      <c r="A30" s="27" t="s">
        <v>24</v>
      </c>
      <c r="B30" s="28"/>
      <c r="C30" s="28"/>
      <c r="D30" s="28"/>
      <c r="E30" s="28"/>
      <c r="F30" s="28"/>
      <c r="G30" s="28"/>
      <c r="H30" s="12">
        <f>moment(N26,C12,C13,C10,C11,C9,C8,C7,G22,G23,F8,G24)</f>
        <v>742.03848487736809</v>
      </c>
      <c r="I30" s="12" t="s">
        <v>23</v>
      </c>
      <c r="J30" s="12"/>
      <c r="K30" s="12"/>
      <c r="L30" s="12"/>
      <c r="M30" s="12"/>
      <c r="N30" s="12"/>
      <c r="O30" s="13"/>
    </row>
    <row r="31" spans="1:16" x14ac:dyDescent="0.3">
      <c r="A31" s="22" t="s">
        <v>33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</sheetData>
  <mergeCells count="20">
    <mergeCell ref="D24:F24"/>
    <mergeCell ref="A26:F27"/>
    <mergeCell ref="G26:G27"/>
    <mergeCell ref="A11:B11"/>
    <mergeCell ref="A31:O31"/>
    <mergeCell ref="H26:M27"/>
    <mergeCell ref="N26:O27"/>
    <mergeCell ref="A12:B12"/>
    <mergeCell ref="A13:B13"/>
    <mergeCell ref="D19:F19"/>
    <mergeCell ref="D20:F20"/>
    <mergeCell ref="D21:F21"/>
    <mergeCell ref="D22:F22"/>
    <mergeCell ref="A30:G30"/>
    <mergeCell ref="D23:F23"/>
    <mergeCell ref="A6:B6"/>
    <mergeCell ref="A7:B7"/>
    <mergeCell ref="A8:B8"/>
    <mergeCell ref="A9:B9"/>
    <mergeCell ref="A10:B1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problem1</vt:lpstr>
      <vt:lpstr>problem2</vt:lpstr>
      <vt:lpstr>problem3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Radhu</cp:lastModifiedBy>
  <dcterms:created xsi:type="dcterms:W3CDTF">2016-09-07T17:27:59Z</dcterms:created>
  <dcterms:modified xsi:type="dcterms:W3CDTF">2017-05-01T02:55:52Z</dcterms:modified>
</cp:coreProperties>
</file>