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C\Advance RCC\"/>
    </mc:Choice>
  </mc:AlternateContent>
  <bookViews>
    <workbookView xWindow="240" yWindow="108" windowWidth="20052" windowHeight="8448"/>
  </bookViews>
  <sheets>
    <sheet name="pattern1" sheetId="1" r:id="rId1"/>
    <sheet name="pattern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B13" i="2" l="1"/>
  <c r="N8" i="2"/>
  <c r="N9" i="2"/>
  <c r="N10" i="2"/>
  <c r="N7" i="2"/>
  <c r="K8" i="2"/>
  <c r="K9" i="2"/>
  <c r="K10" i="2"/>
  <c r="K7" i="2"/>
  <c r="H8" i="2"/>
  <c r="H9" i="2"/>
  <c r="H10" i="2"/>
  <c r="H7" i="2"/>
  <c r="B8" i="2"/>
  <c r="B9" i="2" s="1"/>
  <c r="E9" i="2"/>
  <c r="B10" i="2" l="1"/>
  <c r="K12" i="1"/>
  <c r="K11" i="1"/>
  <c r="N12" i="1"/>
  <c r="N11" i="1"/>
  <c r="H12" i="1"/>
  <c r="H11" i="1"/>
  <c r="B12" i="1"/>
  <c r="B13" i="1" s="1"/>
  <c r="C25" i="2"/>
  <c r="C29" i="2"/>
  <c r="C33" i="2"/>
  <c r="C30" i="2"/>
  <c r="C28" i="2"/>
  <c r="C32" i="2"/>
  <c r="C34" i="2"/>
  <c r="C27" i="2"/>
  <c r="C31" i="2"/>
  <c r="C35" i="2"/>
  <c r="C26" i="2"/>
  <c r="E13" i="1"/>
  <c r="D26" i="2" l="1"/>
  <c r="D35" i="2"/>
  <c r="D31" i="2"/>
  <c r="D27" i="2"/>
  <c r="D34" i="2"/>
  <c r="D32" i="2"/>
  <c r="D28" i="2"/>
  <c r="D30" i="2"/>
  <c r="D33" i="2"/>
  <c r="D29" i="2"/>
  <c r="D25" i="2"/>
  <c r="B14" i="1"/>
  <c r="N26" i="2"/>
  <c r="M26" i="2"/>
  <c r="J26" i="2"/>
  <c r="I26" i="2"/>
  <c r="E26" i="2"/>
  <c r="F26" i="2"/>
  <c r="N33" i="2"/>
  <c r="M33" i="2"/>
  <c r="J33" i="2"/>
  <c r="I33" i="2"/>
  <c r="E33" i="2"/>
  <c r="F33" i="2"/>
  <c r="N35" i="2"/>
  <c r="M35" i="2"/>
  <c r="J35" i="2"/>
  <c r="I35" i="2"/>
  <c r="E35" i="2"/>
  <c r="F35" i="2"/>
  <c r="N29" i="2"/>
  <c r="M29" i="2"/>
  <c r="J29" i="2"/>
  <c r="I29" i="2"/>
  <c r="E29" i="2"/>
  <c r="F29" i="2"/>
  <c r="N31" i="2"/>
  <c r="M31" i="2"/>
  <c r="J31" i="2"/>
  <c r="I31" i="2"/>
  <c r="E31" i="2"/>
  <c r="F31" i="2"/>
  <c r="N25" i="2"/>
  <c r="M25" i="2"/>
  <c r="J25" i="2"/>
  <c r="I25" i="2"/>
  <c r="F25" i="2"/>
  <c r="E25" i="2"/>
  <c r="N27" i="2"/>
  <c r="M27" i="2"/>
  <c r="J27" i="2"/>
  <c r="I27" i="2"/>
  <c r="E27" i="2"/>
  <c r="F27" i="2"/>
  <c r="N28" i="2"/>
  <c r="M28" i="2"/>
  <c r="J28" i="2"/>
  <c r="I28" i="2"/>
  <c r="E28" i="2"/>
  <c r="F28" i="2"/>
  <c r="N34" i="2"/>
  <c r="M34" i="2"/>
  <c r="J34" i="2"/>
  <c r="I34" i="2"/>
  <c r="E34" i="2"/>
  <c r="F34" i="2"/>
  <c r="N32" i="2"/>
  <c r="M32" i="2"/>
  <c r="J32" i="2"/>
  <c r="I32" i="2"/>
  <c r="E32" i="2"/>
  <c r="F32" i="2"/>
  <c r="N30" i="2"/>
  <c r="M30" i="2"/>
  <c r="J30" i="2"/>
  <c r="I30" i="2"/>
  <c r="E30" i="2"/>
  <c r="F30" i="2"/>
  <c r="C38" i="1"/>
  <c r="C30" i="1"/>
  <c r="C39" i="1"/>
  <c r="C34" i="1"/>
  <c r="C41" i="1"/>
  <c r="C29" i="1"/>
  <c r="C32" i="1"/>
  <c r="C36" i="1"/>
  <c r="C33" i="1"/>
  <c r="C37" i="1"/>
  <c r="C40" i="1"/>
  <c r="C31" i="1"/>
  <c r="C35" i="1"/>
  <c r="G26" i="2" l="1"/>
  <c r="O26" i="2"/>
  <c r="H26" i="2"/>
  <c r="P26" i="2"/>
  <c r="K26" i="2"/>
  <c r="L26" i="2"/>
  <c r="K28" i="2"/>
  <c r="L28" i="2"/>
  <c r="G28" i="2"/>
  <c r="O28" i="2"/>
  <c r="H28" i="2"/>
  <c r="P28" i="2"/>
  <c r="K32" i="2"/>
  <c r="L32" i="2"/>
  <c r="G32" i="2"/>
  <c r="O32" i="2"/>
  <c r="H32" i="2"/>
  <c r="P32" i="2"/>
  <c r="L25" i="2"/>
  <c r="K25" i="2"/>
  <c r="G25" i="2"/>
  <c r="O25" i="2"/>
  <c r="H25" i="2"/>
  <c r="P25" i="2"/>
  <c r="G34" i="2"/>
  <c r="O34" i="2"/>
  <c r="H34" i="2"/>
  <c r="P34" i="2"/>
  <c r="K34" i="2"/>
  <c r="L34" i="2"/>
  <c r="K29" i="2"/>
  <c r="L29" i="2"/>
  <c r="G29" i="2"/>
  <c r="O29" i="2"/>
  <c r="H29" i="2"/>
  <c r="P29" i="2"/>
  <c r="H27" i="2"/>
  <c r="P27" i="2"/>
  <c r="G27" i="2"/>
  <c r="K27" i="2"/>
  <c r="L27" i="2"/>
  <c r="O27" i="2"/>
  <c r="G30" i="2"/>
  <c r="O30" i="2"/>
  <c r="H30" i="2"/>
  <c r="P30" i="2"/>
  <c r="K30" i="2"/>
  <c r="L30" i="2"/>
  <c r="L33" i="2"/>
  <c r="K33" i="2"/>
  <c r="G33" i="2"/>
  <c r="O33" i="2"/>
  <c r="H33" i="2"/>
  <c r="P33" i="2"/>
  <c r="H31" i="2"/>
  <c r="P31" i="2"/>
  <c r="O31" i="2"/>
  <c r="K31" i="2"/>
  <c r="L31" i="2"/>
  <c r="G31" i="2"/>
  <c r="H35" i="2"/>
  <c r="P35" i="2"/>
  <c r="O35" i="2"/>
  <c r="K35" i="2"/>
  <c r="L35" i="2"/>
  <c r="G35" i="2"/>
  <c r="D35" i="1"/>
  <c r="D36" i="1"/>
  <c r="D32" i="1"/>
  <c r="D41" i="1"/>
  <c r="D39" i="1"/>
  <c r="D38" i="1"/>
  <c r="D31" i="1"/>
  <c r="D40" i="1"/>
  <c r="D37" i="1"/>
  <c r="D33" i="1"/>
  <c r="D29" i="1"/>
  <c r="D34" i="1"/>
  <c r="D30" i="1"/>
  <c r="M35" i="1"/>
  <c r="J41" i="1"/>
  <c r="M41" i="1"/>
  <c r="E35" i="1"/>
  <c r="N35" i="1"/>
  <c r="I36" i="1"/>
  <c r="E33" i="1"/>
  <c r="N32" i="1"/>
  <c r="I30" i="1"/>
  <c r="F41" i="1"/>
  <c r="N34" i="1"/>
  <c r="I39" i="1"/>
  <c r="J38" i="1"/>
  <c r="N31" i="1"/>
  <c r="J36" i="1"/>
  <c r="F30" i="1"/>
  <c r="M39" i="1"/>
  <c r="M34" i="1"/>
  <c r="I34" i="1"/>
  <c r="J33" i="1"/>
  <c r="F31" i="1"/>
  <c r="J37" i="1"/>
  <c r="F36" i="1"/>
  <c r="I33" i="1"/>
  <c r="E29" i="1"/>
  <c r="E30" i="1"/>
  <c r="E41" i="1"/>
  <c r="I40" i="1"/>
  <c r="E39" i="1"/>
  <c r="F38" i="1"/>
  <c r="E37" i="1"/>
  <c r="N33" i="1"/>
  <c r="N41" i="1"/>
  <c r="F40" i="1"/>
  <c r="N38" i="1"/>
  <c r="M38" i="1"/>
  <c r="N37" i="1"/>
  <c r="N40" i="1"/>
  <c r="M30" i="1"/>
  <c r="M29" i="1"/>
  <c r="F33" i="1"/>
  <c r="J31" i="1"/>
  <c r="E34" i="1"/>
  <c r="J35" i="1"/>
  <c r="I37" i="1"/>
  <c r="M36" i="1"/>
  <c r="J32" i="1"/>
  <c r="I29" i="1"/>
  <c r="J30" i="1"/>
  <c r="F34" i="1"/>
  <c r="J40" i="1"/>
  <c r="F39" i="1"/>
  <c r="E31" i="1"/>
  <c r="I35" i="1"/>
  <c r="M37" i="1"/>
  <c r="M33" i="1"/>
  <c r="I32" i="1"/>
  <c r="I41" i="1"/>
  <c r="E40" i="1"/>
  <c r="N29" i="1"/>
  <c r="E36" i="1"/>
  <c r="E38" i="1"/>
  <c r="F35" i="1"/>
  <c r="F37" i="1"/>
  <c r="N36" i="1"/>
  <c r="E32" i="1"/>
  <c r="F29" i="1"/>
  <c r="N30" i="1"/>
  <c r="J34" i="1"/>
  <c r="M40" i="1"/>
  <c r="N39" i="1"/>
  <c r="I31" i="1"/>
  <c r="J29" i="1"/>
  <c r="M31" i="1"/>
  <c r="M32" i="1"/>
  <c r="I38" i="1"/>
  <c r="F32" i="1"/>
  <c r="J39" i="1"/>
  <c r="P31" i="1" l="1"/>
  <c r="H31" i="1"/>
  <c r="L31" i="1"/>
  <c r="O31" i="1"/>
  <c r="K31" i="1"/>
  <c r="G31" i="1"/>
  <c r="P38" i="1"/>
  <c r="H38" i="1"/>
  <c r="L38" i="1"/>
  <c r="G38" i="1"/>
  <c r="K38" i="1"/>
  <c r="O38" i="1"/>
  <c r="P39" i="1"/>
  <c r="H39" i="1"/>
  <c r="O39" i="1"/>
  <c r="G39" i="1"/>
  <c r="K39" i="1"/>
  <c r="L39" i="1"/>
  <c r="P40" i="1"/>
  <c r="G40" i="1"/>
  <c r="O40" i="1"/>
  <c r="L40" i="1"/>
  <c r="H40" i="1"/>
  <c r="K40" i="1"/>
  <c r="P34" i="1"/>
  <c r="G34" i="1"/>
  <c r="K34" i="1"/>
  <c r="O34" i="1"/>
  <c r="L34" i="1"/>
  <c r="H34" i="1"/>
  <c r="P41" i="1"/>
  <c r="G41" i="1"/>
  <c r="H41" i="1"/>
  <c r="O41" i="1"/>
  <c r="L41" i="1"/>
  <c r="K41" i="1"/>
  <c r="P30" i="1"/>
  <c r="L30" i="1"/>
  <c r="H30" i="1"/>
  <c r="G30" i="1"/>
  <c r="K30" i="1"/>
  <c r="O30" i="1"/>
  <c r="P29" i="1"/>
  <c r="L29" i="1"/>
  <c r="H29" i="1"/>
  <c r="K29" i="1"/>
  <c r="O29" i="1"/>
  <c r="G29" i="1"/>
  <c r="P32" i="1"/>
  <c r="H32" i="1"/>
  <c r="O32" i="1"/>
  <c r="K32" i="1"/>
  <c r="G32" i="1"/>
  <c r="L32" i="1"/>
  <c r="P33" i="1"/>
  <c r="K33" i="1"/>
  <c r="G33" i="1"/>
  <c r="L33" i="1"/>
  <c r="H33" i="1"/>
  <c r="O33" i="1"/>
  <c r="P36" i="1"/>
  <c r="O36" i="1"/>
  <c r="L36" i="1"/>
  <c r="H36" i="1"/>
  <c r="K36" i="1"/>
  <c r="G36" i="1"/>
  <c r="P37" i="1"/>
  <c r="O37" i="1"/>
  <c r="H37" i="1"/>
  <c r="K37" i="1"/>
  <c r="G37" i="1"/>
  <c r="L37" i="1"/>
  <c r="P35" i="1"/>
  <c r="G35" i="1"/>
  <c r="O35" i="1"/>
  <c r="K35" i="1"/>
  <c r="H35" i="1"/>
  <c r="L35" i="1"/>
</calcChain>
</file>

<file path=xl/sharedStrings.xml><?xml version="1.0" encoding="utf-8"?>
<sst xmlns="http://schemas.openxmlformats.org/spreadsheetml/2006/main" count="185" uniqueCount="48">
  <si>
    <t>INPUT PARAMETERS</t>
  </si>
  <si>
    <t>Material Properties</t>
  </si>
  <si>
    <t xml:space="preserve">Section Details </t>
  </si>
  <si>
    <t>fc'=</t>
  </si>
  <si>
    <t>psi</t>
  </si>
  <si>
    <t>fy=</t>
  </si>
  <si>
    <t>Es=</t>
  </si>
  <si>
    <t>b=</t>
  </si>
  <si>
    <t>h=</t>
  </si>
  <si>
    <t>clear cover=</t>
  </si>
  <si>
    <t>d=</t>
  </si>
  <si>
    <t>d'=</t>
  </si>
  <si>
    <t>β=</t>
  </si>
  <si>
    <t>Reinforcement Details</t>
  </si>
  <si>
    <t>Value</t>
  </si>
  <si>
    <t>Unit</t>
  </si>
  <si>
    <t>z</t>
  </si>
  <si>
    <t>c</t>
  </si>
  <si>
    <t>a</t>
  </si>
  <si>
    <t>ey=</t>
  </si>
  <si>
    <t>no_of_layers=</t>
  </si>
  <si>
    <t>as1=</t>
  </si>
  <si>
    <t>as2=</t>
  </si>
  <si>
    <t>sq.in</t>
  </si>
  <si>
    <t>inch</t>
  </si>
  <si>
    <t>no</t>
  </si>
  <si>
    <t>NOTE- Manually enter no of layers of steel, depth of each layer of steel and the corresponding area of steel in that layer</t>
  </si>
  <si>
    <t>h</t>
  </si>
  <si>
    <t>ϒh</t>
  </si>
  <si>
    <t>b</t>
  </si>
  <si>
    <t>as3=</t>
  </si>
  <si>
    <t>as4=</t>
  </si>
  <si>
    <t>d1=</t>
  </si>
  <si>
    <t>d2=</t>
  </si>
  <si>
    <t>d3=</t>
  </si>
  <si>
    <t>d4=</t>
  </si>
  <si>
    <t>rho=0.01</t>
  </si>
  <si>
    <t>rho=0.04</t>
  </si>
  <si>
    <t>rho=0.07</t>
  </si>
  <si>
    <t>Pn</t>
  </si>
  <si>
    <t>Mn</t>
  </si>
  <si>
    <t>ΦPn</t>
  </si>
  <si>
    <t>ΦMn</t>
  </si>
  <si>
    <t>ϒ=</t>
  </si>
  <si>
    <t>Km</t>
  </si>
  <si>
    <t>Rn</t>
  </si>
  <si>
    <t>Kn</t>
  </si>
  <si>
    <t>Interaction diagram for given steel reinforcement pattern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</si>
</sst>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1" xfId="0" applyFill="1" applyBorder="1" applyAlignment="1">
      <alignment horizontal="center" vertical="top"/>
    </xf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6" xfId="0" applyBorder="1"/>
    <xf numFmtId="0" fontId="0" fillId="2" borderId="7" xfId="0" applyFill="1" applyBorder="1" applyAlignment="1">
      <alignment horizontal="center" vertical="top"/>
    </xf>
    <xf numFmtId="0" fontId="0" fillId="0" borderId="9" xfId="0" applyBorder="1"/>
    <xf numFmtId="0" fontId="0" fillId="2" borderId="9" xfId="0" applyFill="1" applyBorder="1" applyAlignment="1">
      <alignment horizontal="center" vertical="top"/>
    </xf>
    <xf numFmtId="0" fontId="0" fillId="0" borderId="9" xfId="0" applyBorder="1" applyAlignment="1">
      <alignment horizontal="center"/>
    </xf>
    <xf numFmtId="0" fontId="0" fillId="2" borderId="10" xfId="0" applyFill="1" applyBorder="1" applyAlignment="1">
      <alignment horizontal="center" vertical="top"/>
    </xf>
    <xf numFmtId="0" fontId="0" fillId="0" borderId="7" xfId="0" applyBorder="1"/>
    <xf numFmtId="0" fontId="0" fillId="0" borderId="10" xfId="0" applyBorder="1"/>
    <xf numFmtId="0" fontId="0" fillId="0" borderId="7" xfId="0" applyFill="1" applyBorder="1" applyAlignment="1">
      <alignment horizontal="center"/>
    </xf>
    <xf numFmtId="0" fontId="0" fillId="0" borderId="8" xfId="0" applyBorder="1"/>
    <xf numFmtId="0" fontId="0" fillId="0" borderId="10" xfId="0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0" borderId="16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2" borderId="6" xfId="0" applyFont="1" applyFill="1" applyBorder="1" applyAlignment="1">
      <alignment horizontal="center" vertical="top"/>
    </xf>
    <xf numFmtId="0" fontId="1" fillId="2" borderId="8" xfId="0" applyFont="1" applyFill="1" applyBorder="1" applyAlignment="1">
      <alignment horizontal="center" vertical="top"/>
    </xf>
    <xf numFmtId="0" fontId="3" fillId="0" borderId="0" xfId="0" applyFont="1"/>
    <xf numFmtId="0" fontId="0" fillId="2" borderId="1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" xfId="0" applyFill="1" applyBorder="1"/>
    <xf numFmtId="0" fontId="0" fillId="4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0" fillId="4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2" borderId="2" xfId="0" applyFill="1" applyBorder="1" applyAlignment="1">
      <alignment horizontal="center" vertical="top"/>
    </xf>
    <xf numFmtId="0" fontId="4" fillId="0" borderId="0" xfId="0" applyFont="1"/>
    <xf numFmtId="0" fontId="0" fillId="4" borderId="6" xfId="0" applyFill="1" applyBorder="1"/>
    <xf numFmtId="0" fontId="0" fillId="2" borderId="6" xfId="0" applyFill="1" applyBorder="1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</a:t>
            </a:r>
            <a:r>
              <a:rPr lang="en-US" baseline="0"/>
              <a:t>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rho=0.01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pattern1!$H$29:$H$41</c:f>
              <c:numCache>
                <c:formatCode>General</c:formatCode>
                <c:ptCount val="13"/>
                <c:pt idx="0">
                  <c:v>6.7000000000000004E-2</c:v>
                </c:pt>
                <c:pt idx="1">
                  <c:v>0.111</c:v>
                </c:pt>
                <c:pt idx="2">
                  <c:v>0.13300000000000001</c:v>
                </c:pt>
                <c:pt idx="3">
                  <c:v>0.14499999999999999</c:v>
                </c:pt>
                <c:pt idx="4">
                  <c:v>0.152</c:v>
                </c:pt>
                <c:pt idx="5">
                  <c:v>0.157</c:v>
                </c:pt>
                <c:pt idx="6">
                  <c:v>0.153</c:v>
                </c:pt>
                <c:pt idx="7">
                  <c:v>0.14799999999999999</c:v>
                </c:pt>
                <c:pt idx="8">
                  <c:v>0.14299999999999999</c:v>
                </c:pt>
                <c:pt idx="9">
                  <c:v>0.13800000000000001</c:v>
                </c:pt>
                <c:pt idx="10">
                  <c:v>0.13300000000000001</c:v>
                </c:pt>
                <c:pt idx="11">
                  <c:v>0.129</c:v>
                </c:pt>
                <c:pt idx="12">
                  <c:v>0.124</c:v>
                </c:pt>
              </c:numCache>
            </c:numRef>
          </c:xVal>
          <c:yVal>
            <c:numRef>
              <c:f>pattern1!$G$29:$G$41</c:f>
              <c:numCache>
                <c:formatCode>General</c:formatCode>
                <c:ptCount val="13"/>
                <c:pt idx="0">
                  <c:v>0.82699999999999996</c:v>
                </c:pt>
                <c:pt idx="1">
                  <c:v>0.68500000000000005</c:v>
                </c:pt>
                <c:pt idx="2">
                  <c:v>0.57599999999999996</c:v>
                </c:pt>
                <c:pt idx="3">
                  <c:v>0.49</c:v>
                </c:pt>
                <c:pt idx="4">
                  <c:v>0.41899999999999998</c:v>
                </c:pt>
                <c:pt idx="5">
                  <c:v>0.35899999999999999</c:v>
                </c:pt>
                <c:pt idx="6">
                  <c:v>0.32400000000000001</c:v>
                </c:pt>
                <c:pt idx="7">
                  <c:v>0.29199999999999998</c:v>
                </c:pt>
                <c:pt idx="8">
                  <c:v>0.26600000000000001</c:v>
                </c:pt>
                <c:pt idx="9">
                  <c:v>0.24099999999999999</c:v>
                </c:pt>
                <c:pt idx="10">
                  <c:v>0.221</c:v>
                </c:pt>
                <c:pt idx="11">
                  <c:v>0.20200000000000001</c:v>
                </c:pt>
                <c:pt idx="12">
                  <c:v>0.186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AE-45EB-B285-8C077B909926}"/>
            </c:ext>
          </c:extLst>
        </c:ser>
        <c:ser>
          <c:idx val="1"/>
          <c:order val="1"/>
          <c:tx>
            <c:v>rho=0.04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pattern1!$L$29:$L$41</c:f>
              <c:numCache>
                <c:formatCode>General</c:formatCode>
                <c:ptCount val="13"/>
                <c:pt idx="0">
                  <c:v>0.126</c:v>
                </c:pt>
                <c:pt idx="1">
                  <c:v>0.19</c:v>
                </c:pt>
                <c:pt idx="2">
                  <c:v>0.23200000000000001</c:v>
                </c:pt>
                <c:pt idx="3">
                  <c:v>0.26300000000000001</c:v>
                </c:pt>
                <c:pt idx="4">
                  <c:v>0.28999999999999998</c:v>
                </c:pt>
                <c:pt idx="5">
                  <c:v>0.314</c:v>
                </c:pt>
                <c:pt idx="6">
                  <c:v>0.308</c:v>
                </c:pt>
                <c:pt idx="7">
                  <c:v>0.3</c:v>
                </c:pt>
                <c:pt idx="8">
                  <c:v>0.29199999999999998</c:v>
                </c:pt>
                <c:pt idx="9">
                  <c:v>0.28299999999999997</c:v>
                </c:pt>
                <c:pt idx="10">
                  <c:v>0.27500000000000002</c:v>
                </c:pt>
                <c:pt idx="11">
                  <c:v>0.26700000000000002</c:v>
                </c:pt>
                <c:pt idx="12">
                  <c:v>0.25900000000000001</c:v>
                </c:pt>
              </c:numCache>
            </c:numRef>
          </c:xVal>
          <c:yVal>
            <c:numRef>
              <c:f>pattern1!$K$29:$K$41</c:f>
              <c:numCache>
                <c:formatCode>General</c:formatCode>
                <c:ptCount val="13"/>
                <c:pt idx="0">
                  <c:v>1.083</c:v>
                </c:pt>
                <c:pt idx="1">
                  <c:v>0.89700000000000002</c:v>
                </c:pt>
                <c:pt idx="2">
                  <c:v>0.73199999999999998</c:v>
                </c:pt>
                <c:pt idx="3">
                  <c:v>0.58899999999999997</c:v>
                </c:pt>
                <c:pt idx="4">
                  <c:v>0.46300000000000002</c:v>
                </c:pt>
                <c:pt idx="5">
                  <c:v>0.34599999999999997</c:v>
                </c:pt>
                <c:pt idx="6">
                  <c:v>0.30499999999999999</c:v>
                </c:pt>
                <c:pt idx="7">
                  <c:v>0.26300000000000001</c:v>
                </c:pt>
                <c:pt idx="8">
                  <c:v>0.22700000000000001</c:v>
                </c:pt>
                <c:pt idx="9">
                  <c:v>0.193</c:v>
                </c:pt>
                <c:pt idx="10">
                  <c:v>0.16300000000000001</c:v>
                </c:pt>
                <c:pt idx="11">
                  <c:v>0.13400000000000001</c:v>
                </c:pt>
                <c:pt idx="12">
                  <c:v>0.107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AE-45EB-B285-8C077B909926}"/>
            </c:ext>
          </c:extLst>
        </c:ser>
        <c:ser>
          <c:idx val="2"/>
          <c:order val="2"/>
          <c:tx>
            <c:v>rho=0.07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pattern1!$P$29:$P$41</c:f>
              <c:numCache>
                <c:formatCode>General</c:formatCode>
                <c:ptCount val="13"/>
                <c:pt idx="0">
                  <c:v>0.185</c:v>
                </c:pt>
                <c:pt idx="1">
                  <c:v>0.26900000000000002</c:v>
                </c:pt>
                <c:pt idx="2">
                  <c:v>0.33</c:v>
                </c:pt>
                <c:pt idx="3">
                  <c:v>0.38100000000000001</c:v>
                </c:pt>
                <c:pt idx="4">
                  <c:v>0.42799999999999999</c:v>
                </c:pt>
                <c:pt idx="5">
                  <c:v>0.47099999999999997</c:v>
                </c:pt>
                <c:pt idx="6">
                  <c:v>0.46400000000000002</c:v>
                </c:pt>
                <c:pt idx="7">
                  <c:v>0.45200000000000001</c:v>
                </c:pt>
                <c:pt idx="8">
                  <c:v>0.44</c:v>
                </c:pt>
                <c:pt idx="9">
                  <c:v>0.42799999999999999</c:v>
                </c:pt>
                <c:pt idx="10">
                  <c:v>0.41599999999999998</c:v>
                </c:pt>
                <c:pt idx="11">
                  <c:v>0.40500000000000003</c:v>
                </c:pt>
                <c:pt idx="12">
                  <c:v>0.39300000000000002</c:v>
                </c:pt>
              </c:numCache>
            </c:numRef>
          </c:xVal>
          <c:yVal>
            <c:numRef>
              <c:f>pattern1!$O$29:$O$41</c:f>
              <c:numCache>
                <c:formatCode>General</c:formatCode>
                <c:ptCount val="13"/>
                <c:pt idx="0">
                  <c:v>1.339</c:v>
                </c:pt>
                <c:pt idx="1">
                  <c:v>1.109</c:v>
                </c:pt>
                <c:pt idx="2">
                  <c:v>0.88800000000000001</c:v>
                </c:pt>
                <c:pt idx="3">
                  <c:v>0.68899999999999995</c:v>
                </c:pt>
                <c:pt idx="4">
                  <c:v>0.50600000000000001</c:v>
                </c:pt>
                <c:pt idx="5">
                  <c:v>0.33400000000000002</c:v>
                </c:pt>
                <c:pt idx="6">
                  <c:v>0.28599999999999998</c:v>
                </c:pt>
                <c:pt idx="7">
                  <c:v>0.23499999999999999</c:v>
                </c:pt>
                <c:pt idx="8">
                  <c:v>0.188</c:v>
                </c:pt>
                <c:pt idx="9">
                  <c:v>0.14399999999999999</c:v>
                </c:pt>
                <c:pt idx="10">
                  <c:v>0.104</c:v>
                </c:pt>
                <c:pt idx="11">
                  <c:v>6.6000000000000003E-2</c:v>
                </c:pt>
                <c:pt idx="12">
                  <c:v>2.9000000000000001E-2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AE-45EB-B285-8C077B909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52704"/>
        <c:axId val="2079628576"/>
      </c:scatterChart>
      <c:valAx>
        <c:axId val="20775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28576"/>
        <c:crosses val="autoZero"/>
        <c:crossBetween val="midCat"/>
      </c:valAx>
      <c:valAx>
        <c:axId val="207962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5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</a:t>
            </a:r>
            <a:r>
              <a:rPr lang="en-US" baseline="0"/>
              <a:t>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rho=0.01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pattern2!$H$25:$H$37</c:f>
              <c:numCache>
                <c:formatCode>General</c:formatCode>
                <c:ptCount val="13"/>
                <c:pt idx="0">
                  <c:v>5.8000000000000003E-2</c:v>
                </c:pt>
                <c:pt idx="1">
                  <c:v>0.1</c:v>
                </c:pt>
                <c:pt idx="2">
                  <c:v>0.11899999999999999</c:v>
                </c:pt>
                <c:pt idx="3">
                  <c:v>0.128</c:v>
                </c:pt>
                <c:pt idx="4">
                  <c:v>0.13200000000000001</c:v>
                </c:pt>
                <c:pt idx="5">
                  <c:v>0.13300000000000001</c:v>
                </c:pt>
                <c:pt idx="6">
                  <c:v>0.13</c:v>
                </c:pt>
                <c:pt idx="7">
                  <c:v>0.126</c:v>
                </c:pt>
                <c:pt idx="8">
                  <c:v>0.122</c:v>
                </c:pt>
                <c:pt idx="9">
                  <c:v>0.11799999999999999</c:v>
                </c:pt>
                <c:pt idx="10">
                  <c:v>0.113</c:v>
                </c:pt>
              </c:numCache>
            </c:numRef>
          </c:xVal>
          <c:yVal>
            <c:numRef>
              <c:f>pattern2!$G$25:$G$37</c:f>
              <c:numCache>
                <c:formatCode>General</c:formatCode>
                <c:ptCount val="13"/>
                <c:pt idx="0">
                  <c:v>0.83599999999999997</c:v>
                </c:pt>
                <c:pt idx="1">
                  <c:v>0.69</c:v>
                </c:pt>
                <c:pt idx="2">
                  <c:v>0.57899999999999996</c:v>
                </c:pt>
                <c:pt idx="3">
                  <c:v>0.49199999999999999</c:v>
                </c:pt>
                <c:pt idx="4">
                  <c:v>0.42099999999999999</c:v>
                </c:pt>
                <c:pt idx="5">
                  <c:v>0.36</c:v>
                </c:pt>
                <c:pt idx="6">
                  <c:v>0.314</c:v>
                </c:pt>
                <c:pt idx="7">
                  <c:v>0.27300000000000002</c:v>
                </c:pt>
                <c:pt idx="8">
                  <c:v>0.23699999999999999</c:v>
                </c:pt>
                <c:pt idx="9">
                  <c:v>0.20799999999999999</c:v>
                </c:pt>
                <c:pt idx="10">
                  <c:v>0.185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7-49B1-8920-F633A09CD474}"/>
            </c:ext>
          </c:extLst>
        </c:ser>
        <c:ser>
          <c:idx val="1"/>
          <c:order val="1"/>
          <c:tx>
            <c:v>rho=0.04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pattern2!$L$25:$L$37</c:f>
              <c:numCache>
                <c:formatCode>General</c:formatCode>
                <c:ptCount val="13"/>
                <c:pt idx="0">
                  <c:v>9.1999999999999998E-2</c:v>
                </c:pt>
                <c:pt idx="1">
                  <c:v>0.14499999999999999</c:v>
                </c:pt>
                <c:pt idx="2">
                  <c:v>0.17399999999999999</c:v>
                </c:pt>
                <c:pt idx="3">
                  <c:v>0.19400000000000001</c:v>
                </c:pt>
                <c:pt idx="4">
                  <c:v>0.20799999999999999</c:v>
                </c:pt>
                <c:pt idx="5">
                  <c:v>0.221</c:v>
                </c:pt>
                <c:pt idx="6">
                  <c:v>0.217</c:v>
                </c:pt>
                <c:pt idx="7">
                  <c:v>0.21299999999999999</c:v>
                </c:pt>
                <c:pt idx="8">
                  <c:v>0.20799999999999999</c:v>
                </c:pt>
                <c:pt idx="9">
                  <c:v>0.20200000000000001</c:v>
                </c:pt>
                <c:pt idx="10">
                  <c:v>0.19400000000000001</c:v>
                </c:pt>
              </c:numCache>
            </c:numRef>
          </c:xVal>
          <c:yVal>
            <c:numRef>
              <c:f>pattern2!$K$25:$K$37</c:f>
              <c:numCache>
                <c:formatCode>General</c:formatCode>
                <c:ptCount val="13"/>
                <c:pt idx="0">
                  <c:v>1.119</c:v>
                </c:pt>
                <c:pt idx="1">
                  <c:v>0.91800000000000004</c:v>
                </c:pt>
                <c:pt idx="2">
                  <c:v>0.746</c:v>
                </c:pt>
                <c:pt idx="3">
                  <c:v>0.59699999999999998</c:v>
                </c:pt>
                <c:pt idx="4">
                  <c:v>0.47099999999999997</c:v>
                </c:pt>
                <c:pt idx="5">
                  <c:v>0.34899999999999998</c:v>
                </c:pt>
                <c:pt idx="6">
                  <c:v>0.26700000000000002</c:v>
                </c:pt>
                <c:pt idx="7">
                  <c:v>0.188</c:v>
                </c:pt>
                <c:pt idx="8">
                  <c:v>0.114</c:v>
                </c:pt>
                <c:pt idx="9">
                  <c:v>5.8999999999999997E-2</c:v>
                </c:pt>
                <c:pt idx="10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7-49B1-8920-F633A09CD474}"/>
            </c:ext>
          </c:extLst>
        </c:ser>
        <c:ser>
          <c:idx val="2"/>
          <c:order val="2"/>
          <c:tx>
            <c:v>rho=0.07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pattern2!$P$25:$P$37</c:f>
              <c:numCache>
                <c:formatCode>General</c:formatCode>
                <c:ptCount val="13"/>
                <c:pt idx="0">
                  <c:v>0.126</c:v>
                </c:pt>
                <c:pt idx="1">
                  <c:v>0.189</c:v>
                </c:pt>
                <c:pt idx="2">
                  <c:v>0.23</c:v>
                </c:pt>
                <c:pt idx="3">
                  <c:v>0.26</c:v>
                </c:pt>
                <c:pt idx="4">
                  <c:v>0.28499999999999998</c:v>
                </c:pt>
                <c:pt idx="5">
                  <c:v>0.308</c:v>
                </c:pt>
                <c:pt idx="6">
                  <c:v>0.30499999999999999</c:v>
                </c:pt>
                <c:pt idx="7">
                  <c:v>0.29899999999999999</c:v>
                </c:pt>
                <c:pt idx="8">
                  <c:v>0.29399999999999998</c:v>
                </c:pt>
                <c:pt idx="9">
                  <c:v>0.28599999999999998</c:v>
                </c:pt>
                <c:pt idx="10">
                  <c:v>0.27500000000000002</c:v>
                </c:pt>
              </c:numCache>
            </c:numRef>
          </c:xVal>
          <c:yVal>
            <c:numRef>
              <c:f>pattern2!$O$25:$O$37</c:f>
              <c:numCache>
                <c:formatCode>General</c:formatCode>
                <c:ptCount val="13"/>
                <c:pt idx="0">
                  <c:v>1.401</c:v>
                </c:pt>
                <c:pt idx="1">
                  <c:v>1.145</c:v>
                </c:pt>
                <c:pt idx="2">
                  <c:v>0.91200000000000003</c:v>
                </c:pt>
                <c:pt idx="3">
                  <c:v>0.70199999999999996</c:v>
                </c:pt>
                <c:pt idx="4">
                  <c:v>0.52200000000000002</c:v>
                </c:pt>
                <c:pt idx="5">
                  <c:v>0.33800000000000002</c:v>
                </c:pt>
                <c:pt idx="6">
                  <c:v>0.22</c:v>
                </c:pt>
                <c:pt idx="7">
                  <c:v>0.10299999999999999</c:v>
                </c:pt>
                <c:pt idx="8">
                  <c:v>-8.9999999999999993E-3</c:v>
                </c:pt>
                <c:pt idx="9">
                  <c:v>-8.8999999999999996E-2</c:v>
                </c:pt>
                <c:pt idx="10">
                  <c:v>-0.14799999999999999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27-49B1-8920-F633A09CD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52704"/>
        <c:axId val="2079628576"/>
      </c:scatterChart>
      <c:valAx>
        <c:axId val="20775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28576"/>
        <c:crosses val="autoZero"/>
        <c:crossBetween val="midCat"/>
      </c:valAx>
      <c:valAx>
        <c:axId val="207962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5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17</xdr:row>
      <xdr:rowOff>19050</xdr:rowOff>
    </xdr:from>
    <xdr:to>
      <xdr:col>16</xdr:col>
      <xdr:colOff>114304</xdr:colOff>
      <xdr:row>24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9875520" y="3204210"/>
          <a:ext cx="1638304" cy="1316355"/>
          <a:chOff x="6677025" y="495300"/>
          <a:chExt cx="1952629" cy="143827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677025" y="647700"/>
            <a:ext cx="1809750" cy="11049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781800" y="7620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781800" y="15621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324850" y="7620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8324850" y="15621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6677025" y="1933575"/>
            <a:ext cx="1828800" cy="1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 rot="5400000">
            <a:off x="8067678" y="1219199"/>
            <a:ext cx="1123947" cy="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>
            <a:off x="6829425" y="495300"/>
            <a:ext cx="1485900" cy="9525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472440</xdr:colOff>
      <xdr:row>42</xdr:row>
      <xdr:rowOff>22860</xdr:rowOff>
    </xdr:from>
    <xdr:to>
      <xdr:col>15</xdr:col>
      <xdr:colOff>83820</xdr:colOff>
      <xdr:row>63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C1C490-6B62-45A3-B791-3328989E84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13</xdr:row>
      <xdr:rowOff>19050</xdr:rowOff>
    </xdr:from>
    <xdr:to>
      <xdr:col>16</xdr:col>
      <xdr:colOff>114304</xdr:colOff>
      <xdr:row>20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8502BF-17E3-4A21-93EE-9698D5E53AB3}"/>
            </a:ext>
          </a:extLst>
        </xdr:cNvPr>
        <xdr:cNvGrpSpPr/>
      </xdr:nvGrpSpPr>
      <xdr:grpSpPr>
        <a:xfrm>
          <a:off x="9875520" y="2426970"/>
          <a:ext cx="1638304" cy="1316355"/>
          <a:chOff x="6677025" y="495300"/>
          <a:chExt cx="1952629" cy="143827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1CE7FCB-BE4C-4153-8872-AF90078F35A1}"/>
              </a:ext>
            </a:extLst>
          </xdr:cNvPr>
          <xdr:cNvSpPr/>
        </xdr:nvSpPr>
        <xdr:spPr>
          <a:xfrm>
            <a:off x="6677025" y="647700"/>
            <a:ext cx="1809750" cy="11049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DC8BC40B-602F-4E0E-8A53-A5855F968EA8}"/>
              </a:ext>
            </a:extLst>
          </xdr:cNvPr>
          <xdr:cNvSpPr/>
        </xdr:nvSpPr>
        <xdr:spPr>
          <a:xfrm>
            <a:off x="6781800" y="7620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D374F239-C657-4E3F-A468-9722B08DFC7C}"/>
              </a:ext>
            </a:extLst>
          </xdr:cNvPr>
          <xdr:cNvSpPr/>
        </xdr:nvSpPr>
        <xdr:spPr>
          <a:xfrm>
            <a:off x="6781800" y="12954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F4E3013B-005A-40D6-A4C2-8EF731774AEB}"/>
              </a:ext>
            </a:extLst>
          </xdr:cNvPr>
          <xdr:cNvSpPr/>
        </xdr:nvSpPr>
        <xdr:spPr>
          <a:xfrm>
            <a:off x="6781800" y="10287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72E8F787-20CA-459B-9CE7-892D2B1E3B7C}"/>
              </a:ext>
            </a:extLst>
          </xdr:cNvPr>
          <xdr:cNvSpPr/>
        </xdr:nvSpPr>
        <xdr:spPr>
          <a:xfrm>
            <a:off x="6781800" y="15621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3878D9B-A879-48DE-BD37-846B3EFABED0}"/>
              </a:ext>
            </a:extLst>
          </xdr:cNvPr>
          <xdr:cNvSpPr/>
        </xdr:nvSpPr>
        <xdr:spPr>
          <a:xfrm>
            <a:off x="8324850" y="7620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CBD095DF-CDBC-43E3-9C60-240C455AAAA3}"/>
              </a:ext>
            </a:extLst>
          </xdr:cNvPr>
          <xdr:cNvSpPr/>
        </xdr:nvSpPr>
        <xdr:spPr>
          <a:xfrm>
            <a:off x="8324850" y="12954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67C0792B-840C-41CB-BD14-6827B7841597}"/>
              </a:ext>
            </a:extLst>
          </xdr:cNvPr>
          <xdr:cNvSpPr/>
        </xdr:nvSpPr>
        <xdr:spPr>
          <a:xfrm>
            <a:off x="8324850" y="10287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D1E0B5BF-EE4E-41B3-A6C2-2587E9FD909D}"/>
              </a:ext>
            </a:extLst>
          </xdr:cNvPr>
          <xdr:cNvSpPr/>
        </xdr:nvSpPr>
        <xdr:spPr>
          <a:xfrm>
            <a:off x="8324850" y="1562100"/>
            <a:ext cx="66675" cy="666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9CD1541C-293B-4C80-B35D-BFF729786E00}"/>
              </a:ext>
            </a:extLst>
          </xdr:cNvPr>
          <xdr:cNvCxnSpPr/>
        </xdr:nvCxnSpPr>
        <xdr:spPr>
          <a:xfrm>
            <a:off x="6677025" y="1933575"/>
            <a:ext cx="1828800" cy="1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CC4A1998-E874-460C-8BFB-CF664B07FC2B}"/>
              </a:ext>
            </a:extLst>
          </xdr:cNvPr>
          <xdr:cNvCxnSpPr/>
        </xdr:nvCxnSpPr>
        <xdr:spPr>
          <a:xfrm rot="5400000">
            <a:off x="8067678" y="1219199"/>
            <a:ext cx="1123947" cy="4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1E18D889-ECB1-4223-AA1B-D94DF53F96BA}"/>
              </a:ext>
            </a:extLst>
          </xdr:cNvPr>
          <xdr:cNvCxnSpPr/>
        </xdr:nvCxnSpPr>
        <xdr:spPr>
          <a:xfrm>
            <a:off x="6829425" y="495300"/>
            <a:ext cx="1485900" cy="9525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152400</xdr:colOff>
      <xdr:row>36</xdr:row>
      <xdr:rowOff>22860</xdr:rowOff>
    </xdr:from>
    <xdr:to>
      <xdr:col>15</xdr:col>
      <xdr:colOff>83820</xdr:colOff>
      <xdr:row>64</xdr:row>
      <xdr:rowOff>83820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326F9D9-9916-4767-B091-FAD7D36FA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2"/>
  <sheetViews>
    <sheetView tabSelected="1" topLeftCell="A3" workbookViewId="0">
      <selection activeCell="H20" sqref="H20"/>
    </sheetView>
  </sheetViews>
  <sheetFormatPr defaultRowHeight="14.4" x14ac:dyDescent="0.3"/>
  <cols>
    <col min="1" max="1" width="16.109375" customWidth="1"/>
    <col min="3" max="3" width="14.88671875" customWidth="1"/>
    <col min="5" max="5" width="12" customWidth="1"/>
    <col min="6" max="6" width="13.44140625" customWidth="1"/>
    <col min="8" max="8" width="12" customWidth="1"/>
  </cols>
  <sheetData>
    <row r="1" spans="1:15" s="2" customFormat="1" x14ac:dyDescent="0.3"/>
    <row r="2" spans="1:15" s="2" customFormat="1" x14ac:dyDescent="0.3"/>
    <row r="3" spans="1:15" s="2" customFormat="1" ht="18" x14ac:dyDescent="0.35">
      <c r="A3" s="69" t="s">
        <v>47</v>
      </c>
    </row>
    <row r="4" spans="1:15" s="2" customFormat="1" x14ac:dyDescent="0.3"/>
    <row r="6" spans="1:15" ht="15" thickBot="1" x14ac:dyDescent="0.35">
      <c r="K6" s="2"/>
    </row>
    <row r="7" spans="1:15" ht="15" thickBot="1" x14ac:dyDescent="0.35">
      <c r="A7" s="63" t="s">
        <v>0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5"/>
    </row>
    <row r="8" spans="1:15" x14ac:dyDescent="0.3">
      <c r="A8" s="66" t="s">
        <v>2</v>
      </c>
      <c r="B8" s="61"/>
      <c r="C8" s="67"/>
      <c r="D8" s="66" t="s">
        <v>1</v>
      </c>
      <c r="E8" s="61"/>
      <c r="F8" s="62"/>
      <c r="G8" s="60" t="s">
        <v>13</v>
      </c>
      <c r="H8" s="61"/>
      <c r="I8" s="61"/>
      <c r="J8" s="61"/>
      <c r="K8" s="61"/>
      <c r="L8" s="61"/>
      <c r="M8" s="61"/>
      <c r="N8" s="61"/>
      <c r="O8" s="62"/>
    </row>
    <row r="9" spans="1:15" s="2" customFormat="1" x14ac:dyDescent="0.3">
      <c r="A9" s="47"/>
      <c r="B9" s="48" t="s">
        <v>14</v>
      </c>
      <c r="C9" s="49" t="s">
        <v>15</v>
      </c>
      <c r="D9" s="47"/>
      <c r="E9" s="48" t="s">
        <v>14</v>
      </c>
      <c r="F9" s="50" t="s">
        <v>15</v>
      </c>
      <c r="G9" s="51"/>
      <c r="H9" s="48" t="s">
        <v>14</v>
      </c>
      <c r="I9" s="48" t="s">
        <v>15</v>
      </c>
      <c r="J9" s="52"/>
      <c r="K9" s="48" t="s">
        <v>14</v>
      </c>
      <c r="L9" s="48" t="s">
        <v>15</v>
      </c>
      <c r="M9" s="52"/>
      <c r="N9" s="48" t="s">
        <v>14</v>
      </c>
      <c r="O9" s="50" t="s">
        <v>15</v>
      </c>
    </row>
    <row r="10" spans="1:15" x14ac:dyDescent="0.3">
      <c r="A10" s="10" t="s">
        <v>7</v>
      </c>
      <c r="B10" s="7">
        <v>14</v>
      </c>
      <c r="C10" s="27" t="s">
        <v>24</v>
      </c>
      <c r="D10" s="24" t="s">
        <v>3</v>
      </c>
      <c r="E10" s="22">
        <v>4000</v>
      </c>
      <c r="F10" s="23" t="s">
        <v>4</v>
      </c>
      <c r="G10" s="68" t="s">
        <v>36</v>
      </c>
      <c r="H10" s="58"/>
      <c r="I10" s="58"/>
      <c r="J10" s="58" t="s">
        <v>37</v>
      </c>
      <c r="K10" s="58"/>
      <c r="L10" s="58"/>
      <c r="M10" s="58" t="s">
        <v>38</v>
      </c>
      <c r="N10" s="58"/>
      <c r="O10" s="59"/>
    </row>
    <row r="11" spans="1:15" x14ac:dyDescent="0.3">
      <c r="A11" s="10" t="s">
        <v>8</v>
      </c>
      <c r="B11" s="7">
        <v>16</v>
      </c>
      <c r="C11" s="27" t="s">
        <v>24</v>
      </c>
      <c r="D11" s="24" t="s">
        <v>5</v>
      </c>
      <c r="E11" s="22">
        <v>60000</v>
      </c>
      <c r="F11" s="23" t="s">
        <v>4</v>
      </c>
      <c r="G11" s="9" t="s">
        <v>21</v>
      </c>
      <c r="H11" s="8">
        <f>0.01*$B$11*$B$10/2</f>
        <v>1.1200000000000001</v>
      </c>
      <c r="I11" s="1" t="s">
        <v>23</v>
      </c>
      <c r="J11" s="7" t="s">
        <v>21</v>
      </c>
      <c r="K11" s="8">
        <f>0.04*$B$11*$B$10/2</f>
        <v>4.4800000000000004</v>
      </c>
      <c r="L11" s="1" t="s">
        <v>23</v>
      </c>
      <c r="M11" s="7" t="s">
        <v>21</v>
      </c>
      <c r="N11" s="8">
        <f>0.07*$B$11*$B$10/2</f>
        <v>7.8400000000000007</v>
      </c>
      <c r="O11" s="11" t="s">
        <v>23</v>
      </c>
    </row>
    <row r="12" spans="1:15" x14ac:dyDescent="0.3">
      <c r="A12" s="10" t="s">
        <v>9</v>
      </c>
      <c r="B12" s="7">
        <f>(B11-E15*B11)/2</f>
        <v>2.4000000000000004</v>
      </c>
      <c r="C12" s="27" t="s">
        <v>24</v>
      </c>
      <c r="D12" s="28" t="s">
        <v>6</v>
      </c>
      <c r="E12" s="22">
        <v>29000000</v>
      </c>
      <c r="F12" s="23" t="s">
        <v>4</v>
      </c>
      <c r="G12" s="9" t="s">
        <v>22</v>
      </c>
      <c r="H12" s="8">
        <f>0.01*$B$10*$B$11/2</f>
        <v>1.1200000000000001</v>
      </c>
      <c r="I12" s="1" t="s">
        <v>23</v>
      </c>
      <c r="J12" s="7" t="s">
        <v>22</v>
      </c>
      <c r="K12" s="8">
        <f>0.04*$B$11*$B$10/2</f>
        <v>4.4800000000000004</v>
      </c>
      <c r="L12" s="1" t="s">
        <v>23</v>
      </c>
      <c r="M12" s="7" t="s">
        <v>22</v>
      </c>
      <c r="N12" s="8">
        <f>0.07*$B$11*$B$10/2</f>
        <v>7.8400000000000007</v>
      </c>
      <c r="O12" s="11" t="s">
        <v>23</v>
      </c>
    </row>
    <row r="13" spans="1:15" x14ac:dyDescent="0.3">
      <c r="A13" s="10" t="s">
        <v>11</v>
      </c>
      <c r="B13" s="7">
        <f>B12</f>
        <v>2.4000000000000004</v>
      </c>
      <c r="C13" s="25" t="s">
        <v>24</v>
      </c>
      <c r="D13" s="28" t="s">
        <v>12</v>
      </c>
      <c r="E13" s="3">
        <f>beta(E10)</f>
        <v>0.85</v>
      </c>
      <c r="F13" s="16"/>
      <c r="G13" s="9" t="s">
        <v>30</v>
      </c>
      <c r="H13" s="8">
        <v>0</v>
      </c>
      <c r="I13" s="1" t="s">
        <v>23</v>
      </c>
      <c r="J13" s="7" t="s">
        <v>30</v>
      </c>
      <c r="K13" s="8">
        <v>0</v>
      </c>
      <c r="L13" s="1" t="s">
        <v>23</v>
      </c>
      <c r="M13" s="7" t="s">
        <v>30</v>
      </c>
      <c r="N13" s="8">
        <v>0</v>
      </c>
      <c r="O13" s="11" t="s">
        <v>23</v>
      </c>
    </row>
    <row r="14" spans="1:15" ht="15" thickBot="1" x14ac:dyDescent="0.35">
      <c r="A14" s="10" t="s">
        <v>10</v>
      </c>
      <c r="B14" s="7">
        <f>B11-B12</f>
        <v>13.6</v>
      </c>
      <c r="C14" s="25" t="s">
        <v>24</v>
      </c>
      <c r="D14" s="28" t="s">
        <v>19</v>
      </c>
      <c r="E14" s="22">
        <v>2.0699999999999998E-3</v>
      </c>
      <c r="F14" s="16"/>
      <c r="G14" s="26" t="s">
        <v>31</v>
      </c>
      <c r="H14" s="12">
        <v>0</v>
      </c>
      <c r="I14" s="13" t="s">
        <v>23</v>
      </c>
      <c r="J14" s="14" t="s">
        <v>31</v>
      </c>
      <c r="K14" s="12">
        <v>0</v>
      </c>
      <c r="L14" s="13" t="s">
        <v>23</v>
      </c>
      <c r="M14" s="14" t="s">
        <v>31</v>
      </c>
      <c r="N14" s="12">
        <v>0</v>
      </c>
      <c r="O14" s="15" t="s">
        <v>23</v>
      </c>
    </row>
    <row r="15" spans="1:15" s="2" customFormat="1" ht="15" thickBot="1" x14ac:dyDescent="0.35">
      <c r="A15" s="10" t="s">
        <v>20</v>
      </c>
      <c r="B15" s="7">
        <v>2</v>
      </c>
      <c r="C15" s="25" t="s">
        <v>25</v>
      </c>
      <c r="D15" s="29" t="s">
        <v>43</v>
      </c>
      <c r="E15" s="13">
        <v>0.7</v>
      </c>
      <c r="F15" s="17"/>
    </row>
    <row r="16" spans="1:15" x14ac:dyDescent="0.3">
      <c r="A16" s="10" t="s">
        <v>32</v>
      </c>
      <c r="B16" s="7">
        <v>13.6</v>
      </c>
      <c r="C16" s="18" t="s">
        <v>24</v>
      </c>
    </row>
    <row r="17" spans="1:17" x14ac:dyDescent="0.3">
      <c r="A17" s="10" t="s">
        <v>33</v>
      </c>
      <c r="B17" s="7">
        <v>2.4</v>
      </c>
      <c r="C17" s="18" t="s">
        <v>24</v>
      </c>
      <c r="O17" s="21" t="s">
        <v>28</v>
      </c>
    </row>
    <row r="18" spans="1:17" x14ac:dyDescent="0.3">
      <c r="A18" s="10" t="s">
        <v>34</v>
      </c>
      <c r="B18" s="7">
        <v>0</v>
      </c>
      <c r="C18" s="18" t="s">
        <v>24</v>
      </c>
    </row>
    <row r="19" spans="1:17" ht="15" thickBot="1" x14ac:dyDescent="0.35">
      <c r="A19" s="19" t="s">
        <v>35</v>
      </c>
      <c r="B19" s="14">
        <v>0</v>
      </c>
      <c r="C19" s="20" t="s">
        <v>24</v>
      </c>
    </row>
    <row r="20" spans="1:17" s="2" customFormat="1" x14ac:dyDescent="0.3">
      <c r="C20" s="5"/>
      <c r="Q20" s="4" t="s">
        <v>29</v>
      </c>
    </row>
    <row r="21" spans="1:17" s="2" customFormat="1" x14ac:dyDescent="0.3">
      <c r="A21" s="6" t="s">
        <v>26</v>
      </c>
      <c r="C21" s="5"/>
    </row>
    <row r="22" spans="1:17" s="2" customFormat="1" x14ac:dyDescent="0.3">
      <c r="A22" s="6"/>
      <c r="C22" s="5"/>
    </row>
    <row r="23" spans="1:17" s="2" customFormat="1" x14ac:dyDescent="0.3">
      <c r="A23" s="6"/>
      <c r="C23" s="5"/>
    </row>
    <row r="24" spans="1:17" s="2" customFormat="1" x14ac:dyDescent="0.3">
      <c r="A24" s="6"/>
      <c r="C24" s="5"/>
    </row>
    <row r="25" spans="1:17" s="2" customFormat="1" x14ac:dyDescent="0.3">
      <c r="A25" s="6"/>
      <c r="C25" s="5"/>
      <c r="O25" s="4" t="s">
        <v>27</v>
      </c>
    </row>
    <row r="26" spans="1:17" s="2" customFormat="1" ht="15" thickBot="1" x14ac:dyDescent="0.35">
      <c r="C26" s="5"/>
    </row>
    <row r="27" spans="1:17" x14ac:dyDescent="0.3">
      <c r="B27" s="53" t="s">
        <v>16</v>
      </c>
      <c r="C27" s="53" t="s">
        <v>17</v>
      </c>
      <c r="D27" s="54" t="s">
        <v>18</v>
      </c>
      <c r="E27" s="55" t="s">
        <v>36</v>
      </c>
      <c r="F27" s="56"/>
      <c r="G27" s="56"/>
      <c r="H27" s="57"/>
      <c r="I27" s="55" t="s">
        <v>37</v>
      </c>
      <c r="J27" s="56"/>
      <c r="K27" s="56"/>
      <c r="L27" s="57"/>
      <c r="M27" s="55" t="s">
        <v>38</v>
      </c>
      <c r="N27" s="56"/>
      <c r="O27" s="56"/>
      <c r="P27" s="57"/>
    </row>
    <row r="28" spans="1:17" x14ac:dyDescent="0.3">
      <c r="B28" s="53"/>
      <c r="C28" s="53"/>
      <c r="D28" s="54"/>
      <c r="E28" s="42" t="s">
        <v>39</v>
      </c>
      <c r="F28" s="43" t="s">
        <v>40</v>
      </c>
      <c r="G28" s="43" t="s">
        <v>44</v>
      </c>
      <c r="H28" s="44" t="s">
        <v>45</v>
      </c>
      <c r="I28" s="42" t="s">
        <v>39</v>
      </c>
      <c r="J28" s="43" t="s">
        <v>40</v>
      </c>
      <c r="K28" s="45" t="s">
        <v>41</v>
      </c>
      <c r="L28" s="46" t="s">
        <v>42</v>
      </c>
      <c r="M28" s="42" t="s">
        <v>39</v>
      </c>
      <c r="N28" s="43" t="s">
        <v>40</v>
      </c>
      <c r="O28" s="45" t="s">
        <v>41</v>
      </c>
      <c r="P28" s="46" t="s">
        <v>42</v>
      </c>
    </row>
    <row r="29" spans="1:17" x14ac:dyDescent="0.3">
      <c r="B29" s="33">
        <v>0.25</v>
      </c>
      <c r="C29" s="33">
        <f t="shared" ref="C29:C41" si="0">ROUND(depthofNA($B$14,$E$14,B29),2)</f>
        <v>16.440000000000001</v>
      </c>
      <c r="D29" s="35">
        <f t="shared" ref="D29:D41" si="1">ROUND(C29*$E$13,2)</f>
        <v>13.97</v>
      </c>
      <c r="E29" s="36">
        <f>ROUND(pnone($E$10,D29,$B$10,C29,$B$15,$E$12,$E$11)/1000,2)</f>
        <v>741.39</v>
      </c>
      <c r="F29" s="33">
        <f>ROUND(mnone($E$10,D29,$B$10,C29,$B$15,$E$12,$E$11,$B$11)/1000,2)</f>
        <v>957</v>
      </c>
      <c r="G29" s="34">
        <f>ROUND((E29*1000)/($B$10*$B$11*$E$10),3)</f>
        <v>0.82699999999999996</v>
      </c>
      <c r="H29" s="37">
        <f>ROUND((F29*1000)/($B$10*$B$11*$B$11*$E$10),3)</f>
        <v>6.7000000000000004E-2</v>
      </c>
      <c r="I29" s="36">
        <f>ROUND(pntwo($E$10,D29,$B$10,C29,$B$15,$E$12,$E$11)/1000,2)</f>
        <v>970.64</v>
      </c>
      <c r="J29" s="33">
        <f>ROUND(mntwo($E$10,D29,$B$10,C29,$B$15,$E$12,$E$11,$B$11)/1000,2)</f>
        <v>1803.17</v>
      </c>
      <c r="K29" s="34">
        <f>ROUND((I29*1000)/($B$10*$B$11*$E$10),3)</f>
        <v>1.083</v>
      </c>
      <c r="L29" s="37">
        <f>ROUND((J29*1000)/($B$10*$B$11*$B$11*$E$10),3)</f>
        <v>0.126</v>
      </c>
      <c r="M29" s="36">
        <f>ROUND(pnthree($E$10,D29,$B$10,C29,$B$15,$E$12,$E$11)/1000,2)</f>
        <v>1199.8900000000001</v>
      </c>
      <c r="N29" s="33">
        <f>ROUND(mnthree($E$10,D29,$B$10,C29,$B$15,$E$12,$E$11,$B$11)/1000,2)</f>
        <v>2649.34</v>
      </c>
      <c r="O29" s="34">
        <f>ROUND((M29*1000)/($B$10*$B$11*$E$10),3)</f>
        <v>1.339</v>
      </c>
      <c r="P29" s="37">
        <f>ROUND((N29*1000)/($B$10*$B$11*$B$11*$E$10),3)</f>
        <v>0.185</v>
      </c>
    </row>
    <row r="30" spans="1:17" x14ac:dyDescent="0.3">
      <c r="B30" s="33">
        <v>0</v>
      </c>
      <c r="C30" s="33">
        <f t="shared" si="0"/>
        <v>13.6</v>
      </c>
      <c r="D30" s="35">
        <f t="shared" si="1"/>
        <v>11.56</v>
      </c>
      <c r="E30" s="36">
        <f t="shared" ref="E30:E41" si="2">ROUND(pnone($E$10,D30,$B$10,C30,$B$15,$E$12,$E$11)/1000,2)</f>
        <v>613.65</v>
      </c>
      <c r="F30" s="33">
        <f t="shared" ref="F30:F41" si="3">ROUND(mnone($E$10,D30,$B$10,C30,$B$15,$E$12,$E$11,$B$11)/1000,2)</f>
        <v>1597.89</v>
      </c>
      <c r="G30" s="34">
        <f t="shared" ref="G30:G41" si="4">ROUND((E30*1000)/($B$10*$B$11*$E$10),3)</f>
        <v>0.68500000000000005</v>
      </c>
      <c r="H30" s="37">
        <f t="shared" ref="H30:H41" si="5">ROUND((F30*1000)/($B$10*$B$11*$B$11*$E$10),3)</f>
        <v>0.111</v>
      </c>
      <c r="I30" s="36">
        <f t="shared" ref="I30:I41" si="6">ROUND(pntwo($E$10,D30,$B$10,C30,$B$15,$E$12,$E$11)/1000,2)</f>
        <v>803.82</v>
      </c>
      <c r="J30" s="33">
        <f t="shared" ref="J30:J41" si="7">ROUND(mntwo($E$10,D30,$B$10,C30,$B$15,$E$12,$E$11,$B$11)/1000,2)</f>
        <v>2726.85</v>
      </c>
      <c r="K30" s="34">
        <f t="shared" ref="K30:K41" si="8">ROUND((I30*1000)/($B$10*$B$11*$E$10),3)</f>
        <v>0.89700000000000002</v>
      </c>
      <c r="L30" s="37">
        <f t="shared" ref="L30:L41" si="9">ROUND((J30*1000)/($B$10*$B$11*$B$11*$E$10),3)</f>
        <v>0.19</v>
      </c>
      <c r="M30" s="36">
        <f t="shared" ref="M30:M41" si="10">ROUND(pnthree($E$10,D30,$B$10,C30,$B$15,$E$12,$E$11)/1000,2)</f>
        <v>994</v>
      </c>
      <c r="N30" s="33">
        <f t="shared" ref="N30:N41" si="11">ROUND(mnthree($E$10,D30,$B$10,C30,$B$15,$E$12,$E$11,$B$11)/1000,2)</f>
        <v>3855.81</v>
      </c>
      <c r="O30" s="34">
        <f t="shared" ref="O30:O41" si="12">ROUND((M30*1000)/($B$10*$B$11*$E$10),3)</f>
        <v>1.109</v>
      </c>
      <c r="P30" s="37">
        <f t="shared" ref="P30:P41" si="13">ROUND((N30*1000)/($B$10*$B$11*$B$11*$E$10),3)</f>
        <v>0.26900000000000002</v>
      </c>
    </row>
    <row r="31" spans="1:17" x14ac:dyDescent="0.3">
      <c r="B31" s="33">
        <v>-0.25</v>
      </c>
      <c r="C31" s="33">
        <f t="shared" si="0"/>
        <v>11.6</v>
      </c>
      <c r="D31" s="35">
        <f t="shared" si="1"/>
        <v>9.86</v>
      </c>
      <c r="E31" s="36">
        <f t="shared" si="2"/>
        <v>515.92999999999995</v>
      </c>
      <c r="F31" s="33">
        <f t="shared" si="3"/>
        <v>1911.26</v>
      </c>
      <c r="G31" s="34">
        <f t="shared" si="4"/>
        <v>0.57599999999999996</v>
      </c>
      <c r="H31" s="37">
        <f t="shared" si="5"/>
        <v>0.13300000000000001</v>
      </c>
      <c r="I31" s="36">
        <f t="shared" si="6"/>
        <v>655.7</v>
      </c>
      <c r="J31" s="33">
        <f t="shared" si="7"/>
        <v>3322.46</v>
      </c>
      <c r="K31" s="34">
        <f t="shared" si="8"/>
        <v>0.73199999999999998</v>
      </c>
      <c r="L31" s="37">
        <f t="shared" si="9"/>
        <v>0.23200000000000001</v>
      </c>
      <c r="M31" s="36">
        <f t="shared" si="10"/>
        <v>795.48</v>
      </c>
      <c r="N31" s="33">
        <f t="shared" si="11"/>
        <v>4733.66</v>
      </c>
      <c r="O31" s="34">
        <f t="shared" si="12"/>
        <v>0.88800000000000001</v>
      </c>
      <c r="P31" s="37">
        <f t="shared" si="13"/>
        <v>0.33</v>
      </c>
    </row>
    <row r="32" spans="1:17" x14ac:dyDescent="0.3">
      <c r="B32" s="33">
        <v>-0.5</v>
      </c>
      <c r="C32" s="33">
        <f t="shared" si="0"/>
        <v>10.11</v>
      </c>
      <c r="D32" s="35">
        <f t="shared" si="1"/>
        <v>8.59</v>
      </c>
      <c r="E32" s="36">
        <f t="shared" si="2"/>
        <v>438.64</v>
      </c>
      <c r="F32" s="33">
        <f t="shared" si="3"/>
        <v>2079.6</v>
      </c>
      <c r="G32" s="34">
        <f t="shared" si="4"/>
        <v>0.49</v>
      </c>
      <c r="H32" s="37">
        <f t="shared" si="5"/>
        <v>0.14499999999999999</v>
      </c>
      <c r="I32" s="36">
        <f t="shared" si="6"/>
        <v>527.91</v>
      </c>
      <c r="J32" s="33">
        <f t="shared" si="7"/>
        <v>3773.65</v>
      </c>
      <c r="K32" s="34">
        <f t="shared" si="8"/>
        <v>0.58899999999999997</v>
      </c>
      <c r="L32" s="37">
        <f t="shared" si="9"/>
        <v>0.26300000000000001</v>
      </c>
      <c r="M32" s="36">
        <f t="shared" si="10"/>
        <v>617.16999999999996</v>
      </c>
      <c r="N32" s="33">
        <f t="shared" si="11"/>
        <v>5467.71</v>
      </c>
      <c r="O32" s="34">
        <f t="shared" si="12"/>
        <v>0.68899999999999995</v>
      </c>
      <c r="P32" s="37">
        <f t="shared" si="13"/>
        <v>0.38100000000000001</v>
      </c>
    </row>
    <row r="33" spans="2:16" x14ac:dyDescent="0.3">
      <c r="B33" s="33">
        <v>-0.75</v>
      </c>
      <c r="C33" s="33">
        <f t="shared" si="0"/>
        <v>8.9600000000000009</v>
      </c>
      <c r="D33" s="35">
        <f t="shared" si="1"/>
        <v>7.62</v>
      </c>
      <c r="E33" s="36">
        <f t="shared" si="2"/>
        <v>375.64</v>
      </c>
      <c r="F33" s="33">
        <f t="shared" si="3"/>
        <v>2178.66</v>
      </c>
      <c r="G33" s="34">
        <f t="shared" si="4"/>
        <v>0.41899999999999998</v>
      </c>
      <c r="H33" s="37">
        <f t="shared" si="5"/>
        <v>0.152</v>
      </c>
      <c r="I33" s="36">
        <f t="shared" si="6"/>
        <v>414.44</v>
      </c>
      <c r="J33" s="33">
        <f t="shared" si="7"/>
        <v>4155.3500000000004</v>
      </c>
      <c r="K33" s="34">
        <f t="shared" si="8"/>
        <v>0.46300000000000002</v>
      </c>
      <c r="L33" s="37">
        <f t="shared" si="9"/>
        <v>0.28999999999999998</v>
      </c>
      <c r="M33" s="36">
        <f t="shared" si="10"/>
        <v>453.24</v>
      </c>
      <c r="N33" s="33">
        <f t="shared" si="11"/>
        <v>6132.04</v>
      </c>
      <c r="O33" s="34">
        <f t="shared" si="12"/>
        <v>0.50600000000000001</v>
      </c>
      <c r="P33" s="37">
        <f t="shared" si="13"/>
        <v>0.42799999999999999</v>
      </c>
    </row>
    <row r="34" spans="2:16" x14ac:dyDescent="0.3">
      <c r="B34" s="33">
        <v>-1</v>
      </c>
      <c r="C34" s="33">
        <f t="shared" si="0"/>
        <v>8.0500000000000007</v>
      </c>
      <c r="D34" s="35">
        <f t="shared" si="1"/>
        <v>6.84</v>
      </c>
      <c r="E34" s="36">
        <f t="shared" si="2"/>
        <v>321.8</v>
      </c>
      <c r="F34" s="33">
        <f t="shared" si="3"/>
        <v>2243.6999999999998</v>
      </c>
      <c r="G34" s="34">
        <f t="shared" si="4"/>
        <v>0.35899999999999999</v>
      </c>
      <c r="H34" s="37">
        <f t="shared" si="5"/>
        <v>0.157</v>
      </c>
      <c r="I34" s="36">
        <f t="shared" si="6"/>
        <v>310.44</v>
      </c>
      <c r="J34" s="33">
        <f t="shared" si="7"/>
        <v>4501.2700000000004</v>
      </c>
      <c r="K34" s="34">
        <f t="shared" si="8"/>
        <v>0.34599999999999997</v>
      </c>
      <c r="L34" s="37">
        <f t="shared" si="9"/>
        <v>0.314</v>
      </c>
      <c r="M34" s="36">
        <f t="shared" si="10"/>
        <v>299.07</v>
      </c>
      <c r="N34" s="33">
        <f t="shared" si="11"/>
        <v>6758.84</v>
      </c>
      <c r="O34" s="34">
        <f t="shared" si="12"/>
        <v>0.33400000000000002</v>
      </c>
      <c r="P34" s="37">
        <f t="shared" si="13"/>
        <v>0.47099999999999997</v>
      </c>
    </row>
    <row r="35" spans="2:16" x14ac:dyDescent="0.3">
      <c r="B35" s="33">
        <v>-1.25</v>
      </c>
      <c r="C35" s="33">
        <f t="shared" si="0"/>
        <v>7.3</v>
      </c>
      <c r="D35" s="35">
        <f t="shared" si="1"/>
        <v>6.21</v>
      </c>
      <c r="E35" s="36">
        <f t="shared" si="2"/>
        <v>289.99</v>
      </c>
      <c r="F35" s="33">
        <f t="shared" si="3"/>
        <v>2189.5300000000002</v>
      </c>
      <c r="G35" s="34">
        <f t="shared" si="4"/>
        <v>0.32400000000000001</v>
      </c>
      <c r="H35" s="37">
        <f t="shared" si="5"/>
        <v>0.153</v>
      </c>
      <c r="I35" s="36">
        <f t="shared" si="6"/>
        <v>273.18</v>
      </c>
      <c r="J35" s="33">
        <f t="shared" si="7"/>
        <v>4417.29</v>
      </c>
      <c r="K35" s="34">
        <f t="shared" si="8"/>
        <v>0.30499999999999999</v>
      </c>
      <c r="L35" s="37">
        <f t="shared" si="9"/>
        <v>0.308</v>
      </c>
      <c r="M35" s="36">
        <f t="shared" si="10"/>
        <v>256.37</v>
      </c>
      <c r="N35" s="33">
        <f t="shared" si="11"/>
        <v>6645.06</v>
      </c>
      <c r="O35" s="34">
        <f t="shared" si="12"/>
        <v>0.28599999999999998</v>
      </c>
      <c r="P35" s="37">
        <f t="shared" si="13"/>
        <v>0.46400000000000002</v>
      </c>
    </row>
    <row r="36" spans="2:16" x14ac:dyDescent="0.3">
      <c r="B36" s="33">
        <v>-1.5</v>
      </c>
      <c r="C36" s="33">
        <f t="shared" si="0"/>
        <v>6.68</v>
      </c>
      <c r="D36" s="35">
        <f t="shared" si="1"/>
        <v>5.68</v>
      </c>
      <c r="E36" s="36">
        <f t="shared" si="2"/>
        <v>261.79000000000002</v>
      </c>
      <c r="F36" s="33">
        <f t="shared" si="3"/>
        <v>2121.04</v>
      </c>
      <c r="G36" s="34">
        <f t="shared" si="4"/>
        <v>0.29199999999999998</v>
      </c>
      <c r="H36" s="37">
        <f t="shared" si="5"/>
        <v>0.14799999999999999</v>
      </c>
      <c r="I36" s="36">
        <f t="shared" si="6"/>
        <v>236.06</v>
      </c>
      <c r="J36" s="33">
        <f t="shared" si="7"/>
        <v>4298.8500000000004</v>
      </c>
      <c r="K36" s="34">
        <f t="shared" si="8"/>
        <v>0.26300000000000001</v>
      </c>
      <c r="L36" s="37">
        <f t="shared" si="9"/>
        <v>0.3</v>
      </c>
      <c r="M36" s="36">
        <f t="shared" si="10"/>
        <v>210.33</v>
      </c>
      <c r="N36" s="33">
        <f t="shared" si="11"/>
        <v>6476.66</v>
      </c>
      <c r="O36" s="34">
        <f t="shared" si="12"/>
        <v>0.23499999999999999</v>
      </c>
      <c r="P36" s="37">
        <f t="shared" si="13"/>
        <v>0.45200000000000001</v>
      </c>
    </row>
    <row r="37" spans="2:16" x14ac:dyDescent="0.3">
      <c r="B37" s="33">
        <v>-1.75</v>
      </c>
      <c r="C37" s="33">
        <f t="shared" si="0"/>
        <v>6.16</v>
      </c>
      <c r="D37" s="35">
        <f t="shared" si="1"/>
        <v>5.24</v>
      </c>
      <c r="E37" s="36">
        <f t="shared" si="2"/>
        <v>237.89</v>
      </c>
      <c r="F37" s="33">
        <f t="shared" si="3"/>
        <v>2051.29</v>
      </c>
      <c r="G37" s="34">
        <f t="shared" si="4"/>
        <v>0.26600000000000001</v>
      </c>
      <c r="H37" s="37">
        <f t="shared" si="5"/>
        <v>0.14299999999999999</v>
      </c>
      <c r="I37" s="36">
        <f t="shared" si="6"/>
        <v>203.3</v>
      </c>
      <c r="J37" s="33">
        <f t="shared" si="7"/>
        <v>4179.45</v>
      </c>
      <c r="K37" s="34">
        <f t="shared" si="8"/>
        <v>0.22700000000000001</v>
      </c>
      <c r="L37" s="37">
        <f t="shared" si="9"/>
        <v>0.29199999999999998</v>
      </c>
      <c r="M37" s="36">
        <f t="shared" si="10"/>
        <v>168.7</v>
      </c>
      <c r="N37" s="33">
        <f t="shared" si="11"/>
        <v>6307.61</v>
      </c>
      <c r="O37" s="34">
        <f t="shared" si="12"/>
        <v>0.188</v>
      </c>
      <c r="P37" s="37">
        <f t="shared" si="13"/>
        <v>0.44</v>
      </c>
    </row>
    <row r="38" spans="2:16" x14ac:dyDescent="0.3">
      <c r="B38" s="33">
        <v>-2</v>
      </c>
      <c r="C38" s="33">
        <f t="shared" si="0"/>
        <v>5.71</v>
      </c>
      <c r="D38" s="35">
        <f t="shared" si="1"/>
        <v>4.8499999999999996</v>
      </c>
      <c r="E38" s="36">
        <f t="shared" si="2"/>
        <v>216.34</v>
      </c>
      <c r="F38" s="33">
        <f t="shared" si="3"/>
        <v>1979.68</v>
      </c>
      <c r="G38" s="34">
        <f t="shared" si="4"/>
        <v>0.24099999999999999</v>
      </c>
      <c r="H38" s="37">
        <f t="shared" si="5"/>
        <v>0.13800000000000001</v>
      </c>
      <c r="I38" s="36">
        <f t="shared" si="6"/>
        <v>172.77</v>
      </c>
      <c r="J38" s="33">
        <f t="shared" si="7"/>
        <v>4057.58</v>
      </c>
      <c r="K38" s="34">
        <f t="shared" si="8"/>
        <v>0.193</v>
      </c>
      <c r="L38" s="37">
        <f t="shared" si="9"/>
        <v>0.28299999999999997</v>
      </c>
      <c r="M38" s="36">
        <f t="shared" si="10"/>
        <v>129.19999999999999</v>
      </c>
      <c r="N38" s="33">
        <f t="shared" si="11"/>
        <v>6135.48</v>
      </c>
      <c r="O38" s="34">
        <f t="shared" si="12"/>
        <v>0.14399999999999999</v>
      </c>
      <c r="P38" s="37">
        <f t="shared" si="13"/>
        <v>0.42799999999999999</v>
      </c>
    </row>
    <row r="39" spans="2:16" x14ac:dyDescent="0.3">
      <c r="B39" s="33">
        <v>-2.25</v>
      </c>
      <c r="C39" s="33">
        <f t="shared" si="0"/>
        <v>5.33</v>
      </c>
      <c r="D39" s="35">
        <f t="shared" si="1"/>
        <v>4.53</v>
      </c>
      <c r="E39" s="36">
        <f t="shared" si="2"/>
        <v>198.18</v>
      </c>
      <c r="F39" s="33">
        <f t="shared" si="3"/>
        <v>1912.91</v>
      </c>
      <c r="G39" s="34">
        <f t="shared" si="4"/>
        <v>0.221</v>
      </c>
      <c r="H39" s="37">
        <f t="shared" si="5"/>
        <v>0.13300000000000001</v>
      </c>
      <c r="I39" s="36">
        <f t="shared" si="6"/>
        <v>145.85</v>
      </c>
      <c r="J39" s="33">
        <f t="shared" si="7"/>
        <v>3941.75</v>
      </c>
      <c r="K39" s="34">
        <f t="shared" si="8"/>
        <v>0.16300000000000001</v>
      </c>
      <c r="L39" s="37">
        <f t="shared" si="9"/>
        <v>0.27500000000000002</v>
      </c>
      <c r="M39" s="36">
        <f t="shared" si="10"/>
        <v>93.52</v>
      </c>
      <c r="N39" s="33">
        <f t="shared" si="11"/>
        <v>5970.6</v>
      </c>
      <c r="O39" s="34">
        <f t="shared" si="12"/>
        <v>0.104</v>
      </c>
      <c r="P39" s="37">
        <f t="shared" si="13"/>
        <v>0.41599999999999998</v>
      </c>
    </row>
    <row r="40" spans="2:16" x14ac:dyDescent="0.3">
      <c r="B40" s="33">
        <v>-2.5</v>
      </c>
      <c r="C40" s="33">
        <f t="shared" si="0"/>
        <v>4.99</v>
      </c>
      <c r="D40" s="35">
        <f t="shared" si="1"/>
        <v>4.24</v>
      </c>
      <c r="E40" s="36">
        <f t="shared" si="2"/>
        <v>181.39</v>
      </c>
      <c r="F40" s="33">
        <f t="shared" si="3"/>
        <v>1846.27</v>
      </c>
      <c r="G40" s="34">
        <f t="shared" si="4"/>
        <v>0.20200000000000001</v>
      </c>
      <c r="H40" s="37">
        <f t="shared" si="5"/>
        <v>0.129</v>
      </c>
      <c r="I40" s="36">
        <f t="shared" si="6"/>
        <v>120.09</v>
      </c>
      <c r="J40" s="33">
        <f t="shared" si="7"/>
        <v>3824.89</v>
      </c>
      <c r="K40" s="34">
        <f t="shared" si="8"/>
        <v>0.13400000000000001</v>
      </c>
      <c r="L40" s="37">
        <f t="shared" si="9"/>
        <v>0.26700000000000002</v>
      </c>
      <c r="M40" s="36">
        <f t="shared" si="10"/>
        <v>58.79</v>
      </c>
      <c r="N40" s="33">
        <f t="shared" si="11"/>
        <v>5803.51</v>
      </c>
      <c r="O40" s="34">
        <f t="shared" si="12"/>
        <v>6.6000000000000003E-2</v>
      </c>
      <c r="P40" s="37">
        <f t="shared" si="13"/>
        <v>0.40500000000000003</v>
      </c>
    </row>
    <row r="41" spans="2:16" ht="15" thickBot="1" x14ac:dyDescent="0.35">
      <c r="B41" s="33">
        <v>-2.75</v>
      </c>
      <c r="C41" s="33">
        <f t="shared" si="0"/>
        <v>4.6900000000000004</v>
      </c>
      <c r="D41" s="35">
        <f t="shared" si="1"/>
        <v>3.99</v>
      </c>
      <c r="E41" s="38">
        <f t="shared" si="2"/>
        <v>166.49</v>
      </c>
      <c r="F41" s="39">
        <f t="shared" si="3"/>
        <v>1783.25</v>
      </c>
      <c r="G41" s="40">
        <f t="shared" si="4"/>
        <v>0.186</v>
      </c>
      <c r="H41" s="41">
        <f t="shared" si="5"/>
        <v>0.124</v>
      </c>
      <c r="I41" s="38">
        <f t="shared" si="6"/>
        <v>96.2</v>
      </c>
      <c r="J41" s="39">
        <f t="shared" si="7"/>
        <v>3711.51</v>
      </c>
      <c r="K41" s="40">
        <f t="shared" si="8"/>
        <v>0.107</v>
      </c>
      <c r="L41" s="41">
        <f t="shared" si="9"/>
        <v>0.25900000000000001</v>
      </c>
      <c r="M41" s="38">
        <f t="shared" si="10"/>
        <v>25.91</v>
      </c>
      <c r="N41" s="39">
        <f t="shared" si="11"/>
        <v>5639.76</v>
      </c>
      <c r="O41" s="40">
        <f t="shared" si="12"/>
        <v>2.9000000000000001E-2</v>
      </c>
      <c r="P41" s="41">
        <f t="shared" si="13"/>
        <v>0.39300000000000002</v>
      </c>
    </row>
    <row r="42" spans="2:16" x14ac:dyDescent="0.3">
      <c r="B42" s="2"/>
      <c r="C42" s="2"/>
      <c r="D42" s="2"/>
      <c r="E42" s="2"/>
      <c r="F42" s="2"/>
      <c r="G42" s="30"/>
      <c r="H42" s="30"/>
    </row>
    <row r="43" spans="2:16" x14ac:dyDescent="0.3">
      <c r="B43" s="2"/>
      <c r="C43" s="2"/>
      <c r="D43" s="2"/>
      <c r="E43" s="2"/>
      <c r="F43" s="2"/>
    </row>
    <row r="44" spans="2:16" x14ac:dyDescent="0.3">
      <c r="B44" s="2"/>
      <c r="C44" s="2"/>
      <c r="D44" s="2"/>
      <c r="E44" s="2"/>
      <c r="F44" s="2"/>
    </row>
    <row r="45" spans="2:16" x14ac:dyDescent="0.3">
      <c r="B45" s="2"/>
      <c r="C45" s="2"/>
      <c r="D45" s="2"/>
      <c r="E45" s="2"/>
      <c r="F45" s="2"/>
    </row>
    <row r="46" spans="2:16" x14ac:dyDescent="0.3">
      <c r="B46" s="2"/>
      <c r="C46" s="2"/>
      <c r="D46" s="2"/>
      <c r="E46" s="2"/>
      <c r="F46" s="2"/>
    </row>
    <row r="47" spans="2:16" x14ac:dyDescent="0.3">
      <c r="B47" s="2"/>
      <c r="C47" s="2"/>
      <c r="D47" s="2"/>
      <c r="E47" s="2"/>
      <c r="F47" s="2"/>
    </row>
    <row r="48" spans="2:16" x14ac:dyDescent="0.3">
      <c r="B48" s="2"/>
      <c r="C48" s="2"/>
      <c r="D48" s="2"/>
      <c r="E48" s="2"/>
      <c r="F48" s="2"/>
    </row>
    <row r="49" spans="2:6" x14ac:dyDescent="0.3">
      <c r="B49" s="2"/>
      <c r="C49" s="2"/>
      <c r="D49" s="2"/>
      <c r="E49" s="2"/>
      <c r="F49" s="2"/>
    </row>
    <row r="50" spans="2:6" x14ac:dyDescent="0.3">
      <c r="B50" s="2"/>
      <c r="C50" s="2"/>
      <c r="D50" s="2"/>
      <c r="E50" s="2"/>
      <c r="F50" s="2"/>
    </row>
    <row r="51" spans="2:6" x14ac:dyDescent="0.3">
      <c r="B51" s="2"/>
      <c r="C51" s="2"/>
      <c r="D51" s="2"/>
      <c r="E51" s="2"/>
      <c r="F51" s="2"/>
    </row>
    <row r="52" spans="2:6" x14ac:dyDescent="0.3">
      <c r="B52" s="2"/>
      <c r="C52" s="2"/>
      <c r="D52" s="2"/>
      <c r="E52" s="2"/>
      <c r="F52" s="2"/>
    </row>
  </sheetData>
  <mergeCells count="13">
    <mergeCell ref="M27:P27"/>
    <mergeCell ref="M10:O10"/>
    <mergeCell ref="G8:O8"/>
    <mergeCell ref="A7:O7"/>
    <mergeCell ref="A8:C8"/>
    <mergeCell ref="D8:F8"/>
    <mergeCell ref="G10:I10"/>
    <mergeCell ref="J10:L10"/>
    <mergeCell ref="B27:B28"/>
    <mergeCell ref="C27:C28"/>
    <mergeCell ref="D27:D28"/>
    <mergeCell ref="E27:H27"/>
    <mergeCell ref="I27:L27"/>
  </mergeCells>
  <pageMargins left="0.7" right="0.7" top="0.75" bottom="0.75" header="0.3" footer="0.3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36"/>
  <sheetViews>
    <sheetView topLeftCell="A2" workbookViewId="0">
      <selection activeCell="H16" sqref="H16"/>
    </sheetView>
  </sheetViews>
  <sheetFormatPr defaultRowHeight="14.4" x14ac:dyDescent="0.3"/>
  <cols>
    <col min="1" max="1" width="16.109375" style="2" customWidth="1"/>
    <col min="2" max="2" width="8.88671875" style="2"/>
    <col min="3" max="3" width="14.88671875" style="2" customWidth="1"/>
    <col min="4" max="4" width="8.88671875" style="2"/>
    <col min="5" max="5" width="12" style="2" customWidth="1"/>
    <col min="6" max="6" width="13.44140625" style="2" customWidth="1"/>
    <col min="7" max="7" width="8.88671875" style="2"/>
    <col min="8" max="8" width="12" style="2" customWidth="1"/>
    <col min="9" max="16384" width="8.88671875" style="2"/>
  </cols>
  <sheetData>
    <row r="2" spans="1:17" ht="15" thickBot="1" x14ac:dyDescent="0.35"/>
    <row r="3" spans="1:17" ht="15" thickBot="1" x14ac:dyDescent="0.35">
      <c r="A3" s="63" t="s">
        <v>0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5"/>
    </row>
    <row r="4" spans="1:17" x14ac:dyDescent="0.3">
      <c r="A4" s="66" t="s">
        <v>2</v>
      </c>
      <c r="B4" s="61"/>
      <c r="C4" s="67"/>
      <c r="D4" s="66" t="s">
        <v>1</v>
      </c>
      <c r="E4" s="61"/>
      <c r="F4" s="62"/>
      <c r="G4" s="66" t="s">
        <v>13</v>
      </c>
      <c r="H4" s="61"/>
      <c r="I4" s="61"/>
      <c r="J4" s="61"/>
      <c r="K4" s="61"/>
      <c r="L4" s="61"/>
      <c r="M4" s="61"/>
      <c r="N4" s="61"/>
      <c r="O4" s="62"/>
    </row>
    <row r="5" spans="1:17" x14ac:dyDescent="0.3">
      <c r="A5" s="47"/>
      <c r="B5" s="48" t="s">
        <v>14</v>
      </c>
      <c r="C5" s="49" t="s">
        <v>15</v>
      </c>
      <c r="D5" s="47"/>
      <c r="E5" s="48" t="s">
        <v>14</v>
      </c>
      <c r="F5" s="50" t="s">
        <v>15</v>
      </c>
      <c r="G5" s="70"/>
      <c r="H5" s="48" t="s">
        <v>14</v>
      </c>
      <c r="I5" s="48" t="s">
        <v>15</v>
      </c>
      <c r="J5" s="52"/>
      <c r="K5" s="48" t="s">
        <v>14</v>
      </c>
      <c r="L5" s="48" t="s">
        <v>15</v>
      </c>
      <c r="M5" s="52"/>
      <c r="N5" s="48" t="s">
        <v>14</v>
      </c>
      <c r="O5" s="50" t="s">
        <v>15</v>
      </c>
    </row>
    <row r="6" spans="1:17" x14ac:dyDescent="0.3">
      <c r="A6" s="10" t="s">
        <v>7</v>
      </c>
      <c r="B6" s="7">
        <v>18</v>
      </c>
      <c r="C6" s="27" t="s">
        <v>24</v>
      </c>
      <c r="D6" s="24" t="s">
        <v>3</v>
      </c>
      <c r="E6" s="31">
        <v>4000</v>
      </c>
      <c r="F6" s="32" t="s">
        <v>4</v>
      </c>
      <c r="G6" s="71" t="s">
        <v>36</v>
      </c>
      <c r="H6" s="58"/>
      <c r="I6" s="58"/>
      <c r="J6" s="58" t="s">
        <v>37</v>
      </c>
      <c r="K6" s="58"/>
      <c r="L6" s="58"/>
      <c r="M6" s="58" t="s">
        <v>38</v>
      </c>
      <c r="N6" s="58"/>
      <c r="O6" s="59"/>
    </row>
    <row r="7" spans="1:17" x14ac:dyDescent="0.3">
      <c r="A7" s="10" t="s">
        <v>8</v>
      </c>
      <c r="B7" s="7">
        <v>24</v>
      </c>
      <c r="C7" s="27" t="s">
        <v>24</v>
      </c>
      <c r="D7" s="24" t="s">
        <v>5</v>
      </c>
      <c r="E7" s="31">
        <v>60000</v>
      </c>
      <c r="F7" s="32" t="s">
        <v>4</v>
      </c>
      <c r="G7" s="72" t="s">
        <v>21</v>
      </c>
      <c r="H7" s="8">
        <f>0.01*$B$7*$B$6/4</f>
        <v>1.08</v>
      </c>
      <c r="I7" s="31" t="s">
        <v>23</v>
      </c>
      <c r="J7" s="7" t="s">
        <v>21</v>
      </c>
      <c r="K7" s="8">
        <f>0.04*$B$7*$B$6/4</f>
        <v>4.32</v>
      </c>
      <c r="L7" s="31" t="s">
        <v>23</v>
      </c>
      <c r="M7" s="7" t="s">
        <v>21</v>
      </c>
      <c r="N7" s="8">
        <f>0.07*$B$7*$B$6/4</f>
        <v>7.5600000000000005</v>
      </c>
      <c r="O7" s="32" t="s">
        <v>23</v>
      </c>
    </row>
    <row r="8" spans="1:17" x14ac:dyDescent="0.3">
      <c r="A8" s="10" t="s">
        <v>9</v>
      </c>
      <c r="B8" s="7">
        <f>(B7-E11*B7)/2</f>
        <v>3.6000000000000014</v>
      </c>
      <c r="C8" s="27" t="s">
        <v>24</v>
      </c>
      <c r="D8" s="28" t="s">
        <v>6</v>
      </c>
      <c r="E8" s="31">
        <v>29000000</v>
      </c>
      <c r="F8" s="32" t="s">
        <v>4</v>
      </c>
      <c r="G8" s="72" t="s">
        <v>22</v>
      </c>
      <c r="H8" s="8">
        <f t="shared" ref="H8:H10" si="0">0.01*$B$7*$B$6/4</f>
        <v>1.08</v>
      </c>
      <c r="I8" s="31" t="s">
        <v>23</v>
      </c>
      <c r="J8" s="7" t="s">
        <v>22</v>
      </c>
      <c r="K8" s="8">
        <f t="shared" ref="K8:K10" si="1">0.04*$B$7*$B$6/4</f>
        <v>4.32</v>
      </c>
      <c r="L8" s="31" t="s">
        <v>23</v>
      </c>
      <c r="M8" s="7" t="s">
        <v>22</v>
      </c>
      <c r="N8" s="8">
        <f t="shared" ref="N8:N10" si="2">0.07*$B$7*$B$6/4</f>
        <v>7.5600000000000005</v>
      </c>
      <c r="O8" s="32" t="s">
        <v>23</v>
      </c>
    </row>
    <row r="9" spans="1:17" x14ac:dyDescent="0.3">
      <c r="A9" s="10" t="s">
        <v>11</v>
      </c>
      <c r="B9" s="7">
        <f>B8</f>
        <v>3.6000000000000014</v>
      </c>
      <c r="C9" s="25" t="s">
        <v>24</v>
      </c>
      <c r="D9" s="28" t="s">
        <v>12</v>
      </c>
      <c r="E9" s="3">
        <f>beta(E6)</f>
        <v>0.85</v>
      </c>
      <c r="F9" s="16"/>
      <c r="G9" s="72" t="s">
        <v>30</v>
      </c>
      <c r="H9" s="8">
        <f t="shared" si="0"/>
        <v>1.08</v>
      </c>
      <c r="I9" s="31" t="s">
        <v>23</v>
      </c>
      <c r="J9" s="7" t="s">
        <v>30</v>
      </c>
      <c r="K9" s="8">
        <f t="shared" si="1"/>
        <v>4.32</v>
      </c>
      <c r="L9" s="31" t="s">
        <v>23</v>
      </c>
      <c r="M9" s="7" t="s">
        <v>30</v>
      </c>
      <c r="N9" s="8">
        <f t="shared" si="2"/>
        <v>7.5600000000000005</v>
      </c>
      <c r="O9" s="32" t="s">
        <v>23</v>
      </c>
    </row>
    <row r="10" spans="1:17" ht="15" thickBot="1" x14ac:dyDescent="0.35">
      <c r="A10" s="10" t="s">
        <v>10</v>
      </c>
      <c r="B10" s="7">
        <f>B7-B8</f>
        <v>20.399999999999999</v>
      </c>
      <c r="C10" s="25" t="s">
        <v>24</v>
      </c>
      <c r="D10" s="28" t="s">
        <v>19</v>
      </c>
      <c r="E10" s="31">
        <v>2.0699999999999998E-3</v>
      </c>
      <c r="F10" s="16"/>
      <c r="G10" s="73" t="s">
        <v>31</v>
      </c>
      <c r="H10" s="12">
        <f t="shared" si="0"/>
        <v>1.08</v>
      </c>
      <c r="I10" s="13" t="s">
        <v>23</v>
      </c>
      <c r="J10" s="14" t="s">
        <v>31</v>
      </c>
      <c r="K10" s="12">
        <f t="shared" si="1"/>
        <v>4.32</v>
      </c>
      <c r="L10" s="13" t="s">
        <v>23</v>
      </c>
      <c r="M10" s="14" t="s">
        <v>31</v>
      </c>
      <c r="N10" s="12">
        <f t="shared" si="2"/>
        <v>7.5600000000000005</v>
      </c>
      <c r="O10" s="15" t="s">
        <v>23</v>
      </c>
    </row>
    <row r="11" spans="1:17" ht="15" thickBot="1" x14ac:dyDescent="0.35">
      <c r="A11" s="10" t="s">
        <v>20</v>
      </c>
      <c r="B11" s="7">
        <v>4</v>
      </c>
      <c r="C11" s="25" t="s">
        <v>25</v>
      </c>
      <c r="D11" s="29" t="s">
        <v>43</v>
      </c>
      <c r="E11" s="13">
        <v>0.7</v>
      </c>
      <c r="F11" s="17"/>
    </row>
    <row r="12" spans="1:17" x14ac:dyDescent="0.3">
      <c r="A12" s="10" t="s">
        <v>32</v>
      </c>
      <c r="B12" s="7">
        <v>20.399999999999999</v>
      </c>
      <c r="C12" s="18" t="s">
        <v>24</v>
      </c>
    </row>
    <row r="13" spans="1:17" x14ac:dyDescent="0.3">
      <c r="A13" s="10" t="s">
        <v>33</v>
      </c>
      <c r="B13" s="7">
        <f>14.8</f>
        <v>14.8</v>
      </c>
      <c r="C13" s="18" t="s">
        <v>24</v>
      </c>
      <c r="O13" s="21" t="s">
        <v>28</v>
      </c>
    </row>
    <row r="14" spans="1:17" x14ac:dyDescent="0.3">
      <c r="A14" s="10" t="s">
        <v>34</v>
      </c>
      <c r="B14" s="7">
        <v>9.1999999999999993</v>
      </c>
      <c r="C14" s="18" t="s">
        <v>24</v>
      </c>
    </row>
    <row r="15" spans="1:17" ht="15" thickBot="1" x14ac:dyDescent="0.35">
      <c r="A15" s="19" t="s">
        <v>35</v>
      </c>
      <c r="B15" s="14">
        <v>3.6</v>
      </c>
      <c r="C15" s="20" t="s">
        <v>24</v>
      </c>
    </row>
    <row r="16" spans="1:17" x14ac:dyDescent="0.3">
      <c r="C16" s="5"/>
      <c r="Q16" s="4" t="s">
        <v>29</v>
      </c>
    </row>
    <row r="17" spans="1:16" x14ac:dyDescent="0.3">
      <c r="A17" s="6" t="s">
        <v>26</v>
      </c>
      <c r="C17" s="5"/>
    </row>
    <row r="18" spans="1:16" x14ac:dyDescent="0.3">
      <c r="A18" s="6"/>
      <c r="C18" s="5"/>
    </row>
    <row r="19" spans="1:16" x14ac:dyDescent="0.3">
      <c r="A19" s="6"/>
      <c r="C19" s="5"/>
    </row>
    <row r="20" spans="1:16" x14ac:dyDescent="0.3">
      <c r="A20" s="6"/>
      <c r="C20" s="5"/>
    </row>
    <row r="21" spans="1:16" x14ac:dyDescent="0.3">
      <c r="A21" s="6"/>
      <c r="C21" s="5"/>
      <c r="O21" s="4" t="s">
        <v>27</v>
      </c>
    </row>
    <row r="22" spans="1:16" ht="15" thickBot="1" x14ac:dyDescent="0.35">
      <c r="C22" s="5"/>
    </row>
    <row r="23" spans="1:16" x14ac:dyDescent="0.3">
      <c r="B23" s="53" t="s">
        <v>16</v>
      </c>
      <c r="C23" s="53" t="s">
        <v>17</v>
      </c>
      <c r="D23" s="54" t="s">
        <v>18</v>
      </c>
      <c r="E23" s="55" t="s">
        <v>36</v>
      </c>
      <c r="F23" s="56"/>
      <c r="G23" s="56"/>
      <c r="H23" s="57"/>
      <c r="I23" s="55" t="s">
        <v>37</v>
      </c>
      <c r="J23" s="56"/>
      <c r="K23" s="56"/>
      <c r="L23" s="57"/>
      <c r="M23" s="55" t="s">
        <v>38</v>
      </c>
      <c r="N23" s="56"/>
      <c r="O23" s="56"/>
      <c r="P23" s="57"/>
    </row>
    <row r="24" spans="1:16" x14ac:dyDescent="0.3">
      <c r="B24" s="53"/>
      <c r="C24" s="53"/>
      <c r="D24" s="54"/>
      <c r="E24" s="42" t="s">
        <v>39</v>
      </c>
      <c r="F24" s="43" t="s">
        <v>40</v>
      </c>
      <c r="G24" s="43" t="s">
        <v>46</v>
      </c>
      <c r="H24" s="44" t="s">
        <v>45</v>
      </c>
      <c r="I24" s="42" t="s">
        <v>39</v>
      </c>
      <c r="J24" s="43" t="s">
        <v>40</v>
      </c>
      <c r="K24" s="43" t="s">
        <v>46</v>
      </c>
      <c r="L24" s="44" t="s">
        <v>45</v>
      </c>
      <c r="M24" s="42" t="s">
        <v>39</v>
      </c>
      <c r="N24" s="43" t="s">
        <v>40</v>
      </c>
      <c r="O24" s="43" t="s">
        <v>46</v>
      </c>
      <c r="P24" s="44" t="s">
        <v>45</v>
      </c>
    </row>
    <row r="25" spans="1:16" x14ac:dyDescent="0.3">
      <c r="B25" s="33">
        <v>0.25</v>
      </c>
      <c r="C25" s="33">
        <f t="shared" ref="C25:C35" si="3">ROUND(depthofNA($B$10,$E$10,B25),2)</f>
        <v>24.65</v>
      </c>
      <c r="D25" s="35">
        <f t="shared" ref="D25:D35" si="4">ROUND(C25*$E$9,2)</f>
        <v>20.95</v>
      </c>
      <c r="E25" s="36">
        <f>ROUND(pnone($E$6,D25,$B$6,C25,$B$11,$E$8,$E$7)/1000,2)</f>
        <v>1444.89</v>
      </c>
      <c r="F25" s="33">
        <f>ROUND(mnone($E$6,D25,$B$6,C25,$B$11,$E$8,$E$7,$B$7)/1000,2)</f>
        <v>2423.27</v>
      </c>
      <c r="G25" s="34">
        <f>ROUND((E25*1000)/($B$6*$B$7*$E$6),3)</f>
        <v>0.83599999999999997</v>
      </c>
      <c r="H25" s="37">
        <f>ROUND((F25*1000)/($B$6*$B$7*$B$7*$E$6),3)</f>
        <v>5.8000000000000003E-2</v>
      </c>
      <c r="I25" s="36">
        <f>ROUND(pntwo($E$6,D25,$B$6,C25,$B$11,$E$8,$E$7)/1000,2)</f>
        <v>1933.14</v>
      </c>
      <c r="J25" s="33">
        <f>ROUND(mntwo($E$6,D25,$B$6,C25,$B$11,$E$8,$E$7,$B$7)/1000,2)</f>
        <v>3827.3</v>
      </c>
      <c r="K25" s="34">
        <f>ROUND((I25*1000)/($B$6*$B$7*$E$6),3)</f>
        <v>1.119</v>
      </c>
      <c r="L25" s="37">
        <f>ROUND((J25*1000)/($B$6*$B$7*$B$7*$E$6),3)</f>
        <v>9.1999999999999998E-2</v>
      </c>
      <c r="M25" s="36">
        <f>ROUND(pnthree($E$6,D25,$B$6,C25,$B$11,$E$8,$E$7)/1000,2)</f>
        <v>2421.39</v>
      </c>
      <c r="N25" s="33">
        <f>ROUND(mnthree($E$6,D25,$B$6,C25,$B$11,$E$8,$E$7,$B$7)/1000,2)</f>
        <v>5231.32</v>
      </c>
      <c r="O25" s="34">
        <f>ROUND((M25*1000)/($B$6*$B$7*$E$6),3)</f>
        <v>1.401</v>
      </c>
      <c r="P25" s="37">
        <f>ROUND((N25*1000)/($B$6*$B$7*$B$7*$E$6),3)</f>
        <v>0.126</v>
      </c>
    </row>
    <row r="26" spans="1:16" x14ac:dyDescent="0.3">
      <c r="B26" s="33">
        <v>0</v>
      </c>
      <c r="C26" s="33">
        <f t="shared" si="3"/>
        <v>20.399999999999999</v>
      </c>
      <c r="D26" s="35">
        <f t="shared" si="4"/>
        <v>17.34</v>
      </c>
      <c r="E26" s="36">
        <f t="shared" ref="E26:E35" si="5">ROUND(pnone($E$6,D26,$B$6,C26,$B$11,$E$8,$E$7)/1000,2)</f>
        <v>1192.3699999999999</v>
      </c>
      <c r="F26" s="33">
        <f t="shared" ref="F26:F35" si="6">ROUND(mnone($E$6,D26,$B$6,C26,$B$11,$E$8,$E$7,$B$7)/1000,2)</f>
        <v>4150.3599999999997</v>
      </c>
      <c r="G26" s="34">
        <f t="shared" ref="G26:G35" si="7">ROUND((E26*1000)/($B$6*$B$7*$E$6),3)</f>
        <v>0.69</v>
      </c>
      <c r="H26" s="37">
        <f t="shared" ref="H26:H35" si="8">ROUND((F26*1000)/($B$6*$B$7*$B$7*$E$6),3)</f>
        <v>0.1</v>
      </c>
      <c r="I26" s="36">
        <f t="shared" ref="I26:I35" si="9">ROUND(pntwo($E$6,D26,$B$6,C26,$B$11,$E$8,$E$7)/1000,2)</f>
        <v>1585.86</v>
      </c>
      <c r="J26" s="33">
        <f t="shared" ref="J26:J35" si="10">ROUND(mntwo($E$6,D26,$B$6,C26,$B$11,$E$8,$E$7,$B$7)/1000,2)</f>
        <v>5999.98</v>
      </c>
      <c r="K26" s="34">
        <f t="shared" ref="K26:K35" si="11">ROUND((I26*1000)/($B$6*$B$7*$E$6),3)</f>
        <v>0.91800000000000004</v>
      </c>
      <c r="L26" s="37">
        <f t="shared" ref="L26:L35" si="12">ROUND((J26*1000)/($B$6*$B$7*$B$7*$E$6),3)</f>
        <v>0.14499999999999999</v>
      </c>
      <c r="M26" s="36">
        <f t="shared" ref="M26:M35" si="13">ROUND(pnthree($E$6,D26,$B$6,C26,$B$11,$E$8,$E$7)/1000,2)</f>
        <v>1979.35</v>
      </c>
      <c r="N26" s="33">
        <f t="shared" ref="N26:N35" si="14">ROUND(mnthree($E$6,D26,$B$6,C26,$B$11,$E$8,$E$7,$B$7)/1000,2)</f>
        <v>7849.6</v>
      </c>
      <c r="O26" s="34">
        <f t="shared" ref="O26:O35" si="15">ROUND((M26*1000)/($B$6*$B$7*$E$6),3)</f>
        <v>1.145</v>
      </c>
      <c r="P26" s="37">
        <f t="shared" ref="P26:P35" si="16">ROUND((N26*1000)/($B$6*$B$7*$B$7*$E$6),3)</f>
        <v>0.189</v>
      </c>
    </row>
    <row r="27" spans="1:16" x14ac:dyDescent="0.3">
      <c r="B27" s="33">
        <v>-0.25</v>
      </c>
      <c r="C27" s="33">
        <f t="shared" si="3"/>
        <v>17.399999999999999</v>
      </c>
      <c r="D27" s="35">
        <f t="shared" si="4"/>
        <v>14.79</v>
      </c>
      <c r="E27" s="36">
        <f t="shared" si="5"/>
        <v>1001.05</v>
      </c>
      <c r="F27" s="33">
        <f t="shared" si="6"/>
        <v>4933.28</v>
      </c>
      <c r="G27" s="34">
        <f t="shared" si="7"/>
        <v>0.57899999999999996</v>
      </c>
      <c r="H27" s="37">
        <f t="shared" si="8"/>
        <v>0.11899999999999999</v>
      </c>
      <c r="I27" s="36">
        <f t="shared" si="9"/>
        <v>1288.76</v>
      </c>
      <c r="J27" s="33">
        <f t="shared" si="10"/>
        <v>7228.49</v>
      </c>
      <c r="K27" s="34">
        <f t="shared" si="11"/>
        <v>0.746</v>
      </c>
      <c r="L27" s="37">
        <f t="shared" si="12"/>
        <v>0.17399999999999999</v>
      </c>
      <c r="M27" s="36">
        <f t="shared" si="13"/>
        <v>1576.48</v>
      </c>
      <c r="N27" s="33">
        <f t="shared" si="14"/>
        <v>9523.7099999999991</v>
      </c>
      <c r="O27" s="34">
        <f t="shared" si="15"/>
        <v>0.91200000000000003</v>
      </c>
      <c r="P27" s="37">
        <f t="shared" si="16"/>
        <v>0.23</v>
      </c>
    </row>
    <row r="28" spans="1:16" x14ac:dyDescent="0.3">
      <c r="B28" s="33">
        <v>-0.5</v>
      </c>
      <c r="C28" s="33">
        <f t="shared" si="3"/>
        <v>15.17</v>
      </c>
      <c r="D28" s="35">
        <f t="shared" si="4"/>
        <v>12.89</v>
      </c>
      <c r="E28" s="36">
        <f t="shared" si="5"/>
        <v>849.53</v>
      </c>
      <c r="F28" s="33">
        <f t="shared" si="6"/>
        <v>5295.71</v>
      </c>
      <c r="G28" s="34">
        <f t="shared" si="7"/>
        <v>0.49199999999999999</v>
      </c>
      <c r="H28" s="37">
        <f t="shared" si="8"/>
        <v>0.128</v>
      </c>
      <c r="I28" s="36">
        <f t="shared" si="9"/>
        <v>1031.5</v>
      </c>
      <c r="J28" s="33">
        <f t="shared" si="10"/>
        <v>8036.34</v>
      </c>
      <c r="K28" s="34">
        <f t="shared" si="11"/>
        <v>0.59699999999999998</v>
      </c>
      <c r="L28" s="37">
        <f t="shared" si="12"/>
        <v>0.19400000000000001</v>
      </c>
      <c r="M28" s="36">
        <f t="shared" si="13"/>
        <v>1213.48</v>
      </c>
      <c r="N28" s="33">
        <f t="shared" si="14"/>
        <v>10776.98</v>
      </c>
      <c r="O28" s="34">
        <f t="shared" si="15"/>
        <v>0.70199999999999996</v>
      </c>
      <c r="P28" s="37">
        <f t="shared" si="16"/>
        <v>0.26</v>
      </c>
    </row>
    <row r="29" spans="1:16" x14ac:dyDescent="0.3">
      <c r="B29" s="33">
        <v>-0.75</v>
      </c>
      <c r="C29" s="33">
        <f t="shared" si="3"/>
        <v>13.44</v>
      </c>
      <c r="D29" s="35">
        <f t="shared" si="4"/>
        <v>11.42</v>
      </c>
      <c r="E29" s="36">
        <f t="shared" si="5"/>
        <v>727.84</v>
      </c>
      <c r="F29" s="33">
        <f t="shared" si="6"/>
        <v>5458.77</v>
      </c>
      <c r="G29" s="34">
        <f t="shared" si="7"/>
        <v>0.42099999999999999</v>
      </c>
      <c r="H29" s="37">
        <f t="shared" si="8"/>
        <v>0.13200000000000001</v>
      </c>
      <c r="I29" s="36">
        <f t="shared" si="9"/>
        <v>814.63</v>
      </c>
      <c r="J29" s="33">
        <f t="shared" si="10"/>
        <v>8646.77</v>
      </c>
      <c r="K29" s="34">
        <f t="shared" si="11"/>
        <v>0.47099999999999997</v>
      </c>
      <c r="L29" s="37">
        <f t="shared" si="12"/>
        <v>0.20799999999999999</v>
      </c>
      <c r="M29" s="36">
        <f t="shared" si="13"/>
        <v>901.43</v>
      </c>
      <c r="N29" s="33">
        <f t="shared" si="14"/>
        <v>11834.77</v>
      </c>
      <c r="O29" s="34">
        <f t="shared" si="15"/>
        <v>0.52200000000000002</v>
      </c>
      <c r="P29" s="37">
        <f t="shared" si="16"/>
        <v>0.28499999999999998</v>
      </c>
    </row>
    <row r="30" spans="1:16" x14ac:dyDescent="0.3">
      <c r="B30" s="33">
        <v>-1</v>
      </c>
      <c r="C30" s="33">
        <f t="shared" si="3"/>
        <v>12.07</v>
      </c>
      <c r="D30" s="35">
        <f t="shared" si="4"/>
        <v>10.26</v>
      </c>
      <c r="E30" s="36">
        <f t="shared" si="5"/>
        <v>621.66</v>
      </c>
      <c r="F30" s="33">
        <f t="shared" si="6"/>
        <v>5524.46</v>
      </c>
      <c r="G30" s="34">
        <f t="shared" si="7"/>
        <v>0.36</v>
      </c>
      <c r="H30" s="37">
        <f t="shared" si="8"/>
        <v>0.13300000000000001</v>
      </c>
      <c r="I30" s="36">
        <f t="shared" si="9"/>
        <v>602.9</v>
      </c>
      <c r="J30" s="33">
        <f t="shared" si="10"/>
        <v>9156.56</v>
      </c>
      <c r="K30" s="34">
        <f t="shared" si="11"/>
        <v>0.34899999999999998</v>
      </c>
      <c r="L30" s="37">
        <f t="shared" si="12"/>
        <v>0.221</v>
      </c>
      <c r="M30" s="36">
        <f t="shared" si="13"/>
        <v>584.13</v>
      </c>
      <c r="N30" s="33">
        <f t="shared" si="14"/>
        <v>12788.67</v>
      </c>
      <c r="O30" s="34">
        <f t="shared" si="15"/>
        <v>0.33800000000000002</v>
      </c>
      <c r="P30" s="37">
        <f t="shared" si="16"/>
        <v>0.308</v>
      </c>
    </row>
    <row r="31" spans="1:16" x14ac:dyDescent="0.3">
      <c r="B31" s="33">
        <v>-1.25</v>
      </c>
      <c r="C31" s="33">
        <f t="shared" si="3"/>
        <v>10.95</v>
      </c>
      <c r="D31" s="35">
        <f t="shared" si="4"/>
        <v>9.31</v>
      </c>
      <c r="E31" s="36">
        <f t="shared" si="5"/>
        <v>542.67999999999995</v>
      </c>
      <c r="F31" s="33">
        <f t="shared" si="6"/>
        <v>5393.62</v>
      </c>
      <c r="G31" s="34">
        <f t="shared" si="7"/>
        <v>0.314</v>
      </c>
      <c r="H31" s="37">
        <f t="shared" si="8"/>
        <v>0.13</v>
      </c>
      <c r="I31" s="36">
        <f t="shared" si="9"/>
        <v>461.39</v>
      </c>
      <c r="J31" s="33">
        <f t="shared" si="10"/>
        <v>9019.56</v>
      </c>
      <c r="K31" s="34">
        <f t="shared" si="11"/>
        <v>0.26700000000000002</v>
      </c>
      <c r="L31" s="37">
        <f t="shared" si="12"/>
        <v>0.217</v>
      </c>
      <c r="M31" s="36">
        <f t="shared" si="13"/>
        <v>380.11</v>
      </c>
      <c r="N31" s="33">
        <f t="shared" si="14"/>
        <v>12645.51</v>
      </c>
      <c r="O31" s="34">
        <f t="shared" si="15"/>
        <v>0.22</v>
      </c>
      <c r="P31" s="37">
        <f t="shared" si="16"/>
        <v>0.30499999999999999</v>
      </c>
    </row>
    <row r="32" spans="1:16" x14ac:dyDescent="0.3">
      <c r="B32" s="33">
        <v>-1.5</v>
      </c>
      <c r="C32" s="33">
        <f t="shared" si="3"/>
        <v>10.02</v>
      </c>
      <c r="D32" s="35">
        <f t="shared" si="4"/>
        <v>8.52</v>
      </c>
      <c r="E32" s="36">
        <f t="shared" si="5"/>
        <v>472.35</v>
      </c>
      <c r="F32" s="33">
        <f t="shared" si="6"/>
        <v>5232.87</v>
      </c>
      <c r="G32" s="34">
        <f t="shared" si="7"/>
        <v>0.27300000000000002</v>
      </c>
      <c r="H32" s="37">
        <f t="shared" si="8"/>
        <v>0.126</v>
      </c>
      <c r="I32" s="36">
        <f t="shared" si="9"/>
        <v>325.12</v>
      </c>
      <c r="J32" s="33">
        <f t="shared" si="10"/>
        <v>8824.0300000000007</v>
      </c>
      <c r="K32" s="34">
        <f t="shared" si="11"/>
        <v>0.188</v>
      </c>
      <c r="L32" s="37">
        <f t="shared" si="12"/>
        <v>0.21299999999999999</v>
      </c>
      <c r="M32" s="36">
        <f t="shared" si="13"/>
        <v>177.89</v>
      </c>
      <c r="N32" s="33">
        <f t="shared" si="14"/>
        <v>12415.18</v>
      </c>
      <c r="O32" s="34">
        <f t="shared" si="15"/>
        <v>0.10299999999999999</v>
      </c>
      <c r="P32" s="37">
        <f t="shared" si="16"/>
        <v>0.29899999999999999</v>
      </c>
    </row>
    <row r="33" spans="2:16" x14ac:dyDescent="0.3">
      <c r="B33" s="33">
        <v>-1.75</v>
      </c>
      <c r="C33" s="33">
        <f t="shared" si="3"/>
        <v>9.24</v>
      </c>
      <c r="D33" s="35">
        <f t="shared" si="4"/>
        <v>7.85</v>
      </c>
      <c r="E33" s="36">
        <f t="shared" si="5"/>
        <v>409.5</v>
      </c>
      <c r="F33" s="33">
        <f t="shared" si="6"/>
        <v>5064.92</v>
      </c>
      <c r="G33" s="34">
        <f t="shared" si="7"/>
        <v>0.23699999999999999</v>
      </c>
      <c r="H33" s="37">
        <f t="shared" si="8"/>
        <v>0.122</v>
      </c>
      <c r="I33" s="36">
        <f t="shared" si="9"/>
        <v>196.73</v>
      </c>
      <c r="J33" s="33">
        <f t="shared" si="10"/>
        <v>8621.49</v>
      </c>
      <c r="K33" s="34">
        <f t="shared" si="11"/>
        <v>0.114</v>
      </c>
      <c r="L33" s="37">
        <f t="shared" si="12"/>
        <v>0.20799999999999999</v>
      </c>
      <c r="M33" s="36">
        <f t="shared" si="13"/>
        <v>-16.05</v>
      </c>
      <c r="N33" s="33">
        <f t="shared" si="14"/>
        <v>12178.07</v>
      </c>
      <c r="O33" s="34">
        <f t="shared" si="15"/>
        <v>-8.9999999999999993E-3</v>
      </c>
      <c r="P33" s="37">
        <f t="shared" si="16"/>
        <v>0.29399999999999998</v>
      </c>
    </row>
    <row r="34" spans="2:16" x14ac:dyDescent="0.3">
      <c r="B34" s="33">
        <v>-2</v>
      </c>
      <c r="C34" s="33">
        <f t="shared" si="3"/>
        <v>8.57</v>
      </c>
      <c r="D34" s="35">
        <f t="shared" si="4"/>
        <v>7.28</v>
      </c>
      <c r="E34" s="36">
        <f t="shared" si="5"/>
        <v>359.85</v>
      </c>
      <c r="F34" s="33">
        <f t="shared" si="6"/>
        <v>4888.82</v>
      </c>
      <c r="G34" s="34">
        <f t="shared" si="7"/>
        <v>0.20799999999999999</v>
      </c>
      <c r="H34" s="37">
        <f t="shared" si="8"/>
        <v>0.11799999999999999</v>
      </c>
      <c r="I34" s="36">
        <f t="shared" si="9"/>
        <v>102.78</v>
      </c>
      <c r="J34" s="33">
        <f t="shared" si="10"/>
        <v>8381.23</v>
      </c>
      <c r="K34" s="34">
        <f t="shared" si="11"/>
        <v>5.8999999999999997E-2</v>
      </c>
      <c r="L34" s="37">
        <f t="shared" si="12"/>
        <v>0.20200000000000001</v>
      </c>
      <c r="M34" s="36">
        <f t="shared" si="13"/>
        <v>-154.29</v>
      </c>
      <c r="N34" s="33">
        <f t="shared" si="14"/>
        <v>11873.64</v>
      </c>
      <c r="O34" s="34">
        <f t="shared" si="15"/>
        <v>-8.8999999999999996E-2</v>
      </c>
      <c r="P34" s="37">
        <f t="shared" si="16"/>
        <v>0.28599999999999998</v>
      </c>
    </row>
    <row r="35" spans="2:16" x14ac:dyDescent="0.3">
      <c r="B35" s="33">
        <v>-2.25</v>
      </c>
      <c r="C35" s="33">
        <f t="shared" si="3"/>
        <v>7.99</v>
      </c>
      <c r="D35" s="35">
        <f t="shared" si="4"/>
        <v>6.79</v>
      </c>
      <c r="E35" s="36">
        <f t="shared" si="5"/>
        <v>319.67</v>
      </c>
      <c r="F35" s="33">
        <f t="shared" si="6"/>
        <v>4695.3599999999997</v>
      </c>
      <c r="G35" s="34">
        <f t="shared" si="7"/>
        <v>0.185</v>
      </c>
      <c r="H35" s="37">
        <f t="shared" si="8"/>
        <v>0.113</v>
      </c>
      <c r="I35" s="36">
        <f t="shared" si="9"/>
        <v>32.04</v>
      </c>
      <c r="J35" s="33">
        <f t="shared" si="10"/>
        <v>8054.07</v>
      </c>
      <c r="K35" s="34">
        <f t="shared" si="11"/>
        <v>1.9E-2</v>
      </c>
      <c r="L35" s="37">
        <f t="shared" si="12"/>
        <v>0.19400000000000001</v>
      </c>
      <c r="M35" s="36">
        <f t="shared" si="13"/>
        <v>-255.59</v>
      </c>
      <c r="N35" s="33">
        <f t="shared" si="14"/>
        <v>11412.77</v>
      </c>
      <c r="O35" s="34">
        <f t="shared" si="15"/>
        <v>-0.14799999999999999</v>
      </c>
      <c r="P35" s="37">
        <f t="shared" si="16"/>
        <v>0.27500000000000002</v>
      </c>
    </row>
    <row r="36" spans="2:16" x14ac:dyDescent="0.3">
      <c r="G36" s="30"/>
      <c r="H36" s="30"/>
    </row>
  </sheetData>
  <mergeCells count="13">
    <mergeCell ref="B23:B24"/>
    <mergeCell ref="C23:C24"/>
    <mergeCell ref="D23:D24"/>
    <mergeCell ref="E23:H23"/>
    <mergeCell ref="I23:L23"/>
    <mergeCell ref="M23:P23"/>
    <mergeCell ref="A3:O3"/>
    <mergeCell ref="A4:C4"/>
    <mergeCell ref="D4:F4"/>
    <mergeCell ref="G4:O4"/>
    <mergeCell ref="G6:I6"/>
    <mergeCell ref="J6:L6"/>
    <mergeCell ref="M6:O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pattern1</vt:lpstr>
      <vt:lpstr>pattern2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Radhu</cp:lastModifiedBy>
  <dcterms:created xsi:type="dcterms:W3CDTF">2016-12-03T00:00:26Z</dcterms:created>
  <dcterms:modified xsi:type="dcterms:W3CDTF">2017-05-01T00:59:04Z</dcterms:modified>
</cp:coreProperties>
</file>