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C\Advance RCC\"/>
    </mc:Choice>
  </mc:AlternateContent>
  <bookViews>
    <workbookView xWindow="240" yWindow="108" windowWidth="20052" windowHeight="8448" activeTab="1"/>
  </bookViews>
  <sheets>
    <sheet name="problem1" sheetId="1" r:id="rId1"/>
    <sheet name="problem2" sheetId="2" r:id="rId2"/>
    <sheet name="Sheet3" sheetId="3" r:id="rId3"/>
  </sheets>
  <functionGroups builtInGroupCount="18"/>
  <calcPr calcId="171027"/>
</workbook>
</file>

<file path=xl/calcChain.xml><?xml version="1.0" encoding="utf-8"?>
<calcChain xmlns="http://schemas.openxmlformats.org/spreadsheetml/2006/main">
  <c r="G24" i="2" l="1"/>
  <c r="G23" i="2"/>
  <c r="G22" i="2"/>
  <c r="L13" i="2"/>
  <c r="L31" i="2" s="1"/>
  <c r="E10" i="2"/>
  <c r="G31" i="2" s="1"/>
  <c r="L9" i="2"/>
  <c r="L29" i="2" s="1"/>
  <c r="G29" i="2"/>
  <c r="G30" i="2"/>
  <c r="B29" i="2"/>
  <c r="B30" i="2" l="1"/>
  <c r="G32" i="2"/>
  <c r="G33" i="2" s="1"/>
  <c r="I32" i="2" s="1"/>
  <c r="I30" i="2"/>
  <c r="G15" i="1"/>
  <c r="G16" i="1"/>
  <c r="G17" i="1"/>
  <c r="L11" i="1"/>
  <c r="L24" i="1" s="1"/>
  <c r="L7" i="1"/>
  <c r="L22" i="1" s="1"/>
  <c r="E8" i="1"/>
  <c r="G24" i="1" s="1"/>
  <c r="G23" i="1"/>
  <c r="L30" i="2"/>
  <c r="G22" i="1"/>
  <c r="M37" i="2"/>
  <c r="M34" i="2"/>
  <c r="L32" i="2"/>
  <c r="B22" i="1"/>
  <c r="N34" i="2" l="1"/>
  <c r="N37" i="2"/>
  <c r="M29" i="2"/>
  <c r="M31" i="2"/>
  <c r="D29" i="2"/>
  <c r="I23" i="1"/>
  <c r="G25" i="1"/>
  <c r="G26" i="1" s="1"/>
  <c r="I25" i="1" s="1"/>
  <c r="B23" i="1"/>
  <c r="M27" i="1"/>
  <c r="L25" i="1"/>
  <c r="M30" i="1"/>
  <c r="L23" i="1"/>
  <c r="N27" i="1" l="1"/>
  <c r="N30" i="1"/>
  <c r="M24" i="1"/>
  <c r="M22" i="1"/>
  <c r="D22" i="1"/>
</calcChain>
</file>

<file path=xl/sharedStrings.xml><?xml version="1.0" encoding="utf-8"?>
<sst xmlns="http://schemas.openxmlformats.org/spreadsheetml/2006/main" count="204" uniqueCount="80">
  <si>
    <t>INPUT PARAMETERS</t>
  </si>
  <si>
    <t>Value</t>
  </si>
  <si>
    <t>units</t>
  </si>
  <si>
    <t>Units</t>
  </si>
  <si>
    <t>Material Properties</t>
  </si>
  <si>
    <t>Dimensions</t>
  </si>
  <si>
    <t>Loading and Elevation</t>
  </si>
  <si>
    <t>Reinforcement Details</t>
  </si>
  <si>
    <t>h=</t>
  </si>
  <si>
    <t>lw=</t>
  </si>
  <si>
    <t>hw=</t>
  </si>
  <si>
    <t>fc'=</t>
  </si>
  <si>
    <t>Es=</t>
  </si>
  <si>
    <t>Ec=</t>
  </si>
  <si>
    <t>Story 
No.</t>
  </si>
  <si>
    <t>Floor height from Ground level
(in ft)</t>
  </si>
  <si>
    <t>Lateral load at the story (H) 
(in kips)</t>
  </si>
  <si>
    <t>Vertical compressive load at the story  (N) 
(in kips)</t>
  </si>
  <si>
    <t>Vertical Reinforcement</t>
  </si>
  <si>
    <t>Bar #</t>
  </si>
  <si>
    <t>As</t>
  </si>
  <si>
    <t>spacing(s1)</t>
  </si>
  <si>
    <t>β=</t>
  </si>
  <si>
    <t>d=</t>
  </si>
  <si>
    <t>spacing(s2)</t>
  </si>
  <si>
    <t>Horizontal Reinforcement</t>
  </si>
  <si>
    <t>fyt=fy=</t>
  </si>
  <si>
    <t>psi</t>
  </si>
  <si>
    <t>inches</t>
  </si>
  <si>
    <t>ft</t>
  </si>
  <si>
    <t>ground</t>
  </si>
  <si>
    <t>1st</t>
  </si>
  <si>
    <t>2nd</t>
  </si>
  <si>
    <t>3rd</t>
  </si>
  <si>
    <t>4th</t>
  </si>
  <si>
    <t>roof</t>
  </si>
  <si>
    <t>sq.inch</t>
  </si>
  <si>
    <t>inch</t>
  </si>
  <si>
    <t>λ=</t>
  </si>
  <si>
    <t>Vu=</t>
  </si>
  <si>
    <t>LOADS ON THE STRUCTURE</t>
  </si>
  <si>
    <t>Nu=</t>
  </si>
  <si>
    <t>kip.ft</t>
  </si>
  <si>
    <t>kip</t>
  </si>
  <si>
    <t>Mu at base =</t>
  </si>
  <si>
    <t>Vc=</t>
  </si>
  <si>
    <t>ΦVc=</t>
  </si>
  <si>
    <t>kips</t>
  </si>
  <si>
    <t>parameters</t>
  </si>
  <si>
    <t>value</t>
  </si>
  <si>
    <t>remarks</t>
  </si>
  <si>
    <t>ΦMn=</t>
  </si>
  <si>
    <t>Mn=</t>
  </si>
  <si>
    <t>Φ=</t>
  </si>
  <si>
    <t>c=</t>
  </si>
  <si>
    <t>0.375d=</t>
  </si>
  <si>
    <t xml:space="preserve">SHEAR STRENGTH CHECK </t>
  </si>
  <si>
    <t>FLEXURE STRENGTH CHECK</t>
  </si>
  <si>
    <t>CHECK ON REINFORCEMENT</t>
  </si>
  <si>
    <t>Check on Area of Reinforcement</t>
  </si>
  <si>
    <t>Check on Spacing of Reinforcement</t>
  </si>
  <si>
    <r>
      <t>ρ</t>
    </r>
    <r>
      <rPr>
        <vertAlign val="subscript"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>=</t>
    </r>
  </si>
  <si>
    <r>
      <t>ρ</t>
    </r>
    <r>
      <rPr>
        <vertAlign val="subscript"/>
        <sz val="11"/>
        <color theme="1"/>
        <rFont val="Calibri"/>
        <family val="2"/>
      </rPr>
      <t>Lmin</t>
    </r>
    <r>
      <rPr>
        <sz val="11"/>
        <color theme="1"/>
        <rFont val="Calibri"/>
        <family val="2"/>
      </rPr>
      <t>=</t>
    </r>
  </si>
  <si>
    <r>
      <t>ρ</t>
    </r>
    <r>
      <rPr>
        <vertAlign val="subscript"/>
        <sz val="11"/>
        <color theme="1"/>
        <rFont val="Calibri"/>
        <family val="2"/>
      </rPr>
      <t>T</t>
    </r>
    <r>
      <rPr>
        <sz val="11"/>
        <color theme="1"/>
        <rFont val="Calibri"/>
        <family val="2"/>
      </rPr>
      <t>=</t>
    </r>
  </si>
  <si>
    <r>
      <t>ρ</t>
    </r>
    <r>
      <rPr>
        <vertAlign val="subscript"/>
        <sz val="11"/>
        <color theme="1"/>
        <rFont val="Calibri"/>
        <family val="2"/>
      </rPr>
      <t>Tmin</t>
    </r>
    <r>
      <rPr>
        <sz val="11"/>
        <color theme="1"/>
        <rFont val="Calibri"/>
        <family val="2"/>
      </rPr>
      <t>=</t>
    </r>
  </si>
  <si>
    <t>min spacing for vertical reinforcement</t>
  </si>
  <si>
    <t>min spacing for horizontal reinforcement</t>
  </si>
  <si>
    <t>Ground</t>
  </si>
  <si>
    <t>Roof</t>
  </si>
  <si>
    <t>N</t>
  </si>
  <si>
    <t>H</t>
  </si>
  <si>
    <t>ksi</t>
  </si>
  <si>
    <t>5th</t>
  </si>
  <si>
    <t>6th</t>
  </si>
  <si>
    <t>7th</t>
  </si>
  <si>
    <t>8th
7th</t>
  </si>
  <si>
    <t>8th</t>
  </si>
  <si>
    <t>max spacing for vertical reinforcement</t>
  </si>
  <si>
    <t>max spacing for horizontal reinforcement</t>
  </si>
  <si>
    <t>SHEAR WALL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</si>
</sst>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2" borderId="0" xfId="0" applyFill="1"/>
    <xf numFmtId="0" fontId="0" fillId="2" borderId="7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top" wrapText="1"/>
    </xf>
    <xf numFmtId="0" fontId="0" fillId="2" borderId="8" xfId="0" applyFill="1" applyBorder="1" applyAlignment="1">
      <alignment horizontal="center" vertical="top" wrapText="1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" xfId="0" applyFill="1" applyBorder="1"/>
    <xf numFmtId="0" fontId="0" fillId="2" borderId="0" xfId="0" applyFill="1" applyAlignment="1">
      <alignment vertical="top" wrapText="1"/>
    </xf>
    <xf numFmtId="0" fontId="1" fillId="2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 wrapText="1"/>
    </xf>
    <xf numFmtId="165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center" vertical="top"/>
    </xf>
    <xf numFmtId="0" fontId="2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wrapText="1"/>
    </xf>
    <xf numFmtId="0" fontId="0" fillId="2" borderId="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2" borderId="3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1" fillId="6" borderId="34" xfId="0" applyFont="1" applyFill="1" applyBorder="1" applyAlignment="1">
      <alignment horizontal="center" vertical="center"/>
    </xf>
    <xf numFmtId="0" fontId="1" fillId="6" borderId="24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33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/>
    </xf>
    <xf numFmtId="0" fontId="1" fillId="5" borderId="24" xfId="0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5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3</xdr:row>
      <xdr:rowOff>179613</xdr:rowOff>
    </xdr:from>
    <xdr:to>
      <xdr:col>18</xdr:col>
      <xdr:colOff>590550</xdr:colOff>
      <xdr:row>13</xdr:row>
      <xdr:rowOff>28575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9201150" y="827313"/>
          <a:ext cx="3162300" cy="2354037"/>
          <a:chOff x="9296400" y="170088"/>
          <a:chExt cx="2867025" cy="2403250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0067925" y="438150"/>
            <a:ext cx="1152525" cy="428625"/>
          </a:xfrm>
          <a:prstGeom prst="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0067925" y="866775"/>
            <a:ext cx="1152525" cy="428625"/>
          </a:xfrm>
          <a:prstGeom prst="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10067925" y="1285875"/>
            <a:ext cx="1152525" cy="428625"/>
          </a:xfrm>
          <a:prstGeom prst="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0067925" y="1714500"/>
            <a:ext cx="1152525" cy="428625"/>
          </a:xfrm>
          <a:prstGeom prst="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0067925" y="2143125"/>
            <a:ext cx="1152525" cy="428625"/>
          </a:xfrm>
          <a:prstGeom prst="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n-IN" sz="1100"/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CxnSpPr/>
        </xdr:nvCxnSpPr>
        <xdr:spPr>
          <a:xfrm>
            <a:off x="9505950" y="438150"/>
            <a:ext cx="476250" cy="1588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/>
        </xdr:nvCxnSpPr>
        <xdr:spPr>
          <a:xfrm>
            <a:off x="9544050" y="866775"/>
            <a:ext cx="476250" cy="1588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CxnSpPr/>
        </xdr:nvCxnSpPr>
        <xdr:spPr>
          <a:xfrm>
            <a:off x="9534525" y="1285875"/>
            <a:ext cx="476250" cy="1588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9534525" y="1714500"/>
            <a:ext cx="476250" cy="1588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/>
        </xdr:nvCxnSpPr>
        <xdr:spPr>
          <a:xfrm>
            <a:off x="9544050" y="2143125"/>
            <a:ext cx="476250" cy="1588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endCxn id="2" idx="2"/>
          </xdr:cNvCxnSpPr>
        </xdr:nvCxnSpPr>
        <xdr:spPr>
          <a:xfrm rot="16200000" flipH="1">
            <a:off x="10507776" y="731723"/>
            <a:ext cx="268061" cy="2042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/>
        </xdr:nvCxnSpPr>
        <xdr:spPr>
          <a:xfrm rot="16200000" flipH="1">
            <a:off x="10509137" y="303098"/>
            <a:ext cx="268061" cy="2042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Arrow Connector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 rot="16200000" flipH="1">
            <a:off x="10509137" y="1150823"/>
            <a:ext cx="268061" cy="2042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Arrow Connector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CxnSpPr/>
        </xdr:nvCxnSpPr>
        <xdr:spPr>
          <a:xfrm rot="16200000" flipH="1">
            <a:off x="10509137" y="1588973"/>
            <a:ext cx="268061" cy="2042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 rot="16200000" flipH="1">
            <a:off x="10509137" y="2008073"/>
            <a:ext cx="268061" cy="2042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11220450" y="2571750"/>
            <a:ext cx="771525" cy="1588"/>
          </a:xfrm>
          <a:prstGeom prst="line">
            <a:avLst/>
          </a:prstGeom>
          <a:effectLst/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CxnSpPr/>
        </xdr:nvCxnSpPr>
        <xdr:spPr>
          <a:xfrm>
            <a:off x="9296400" y="2571750"/>
            <a:ext cx="771525" cy="1588"/>
          </a:xfrm>
          <a:prstGeom prst="line">
            <a:avLst/>
          </a:prstGeom>
          <a:effectLst/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11229975" y="438150"/>
            <a:ext cx="933450" cy="158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CxnSpPr/>
        </xdr:nvCxnSpPr>
        <xdr:spPr>
          <a:xfrm>
            <a:off x="11229975" y="866775"/>
            <a:ext cx="933450" cy="158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CxnSpPr/>
        </xdr:nvCxnSpPr>
        <xdr:spPr>
          <a:xfrm>
            <a:off x="11229975" y="1285875"/>
            <a:ext cx="933450" cy="158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Connector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CxnSpPr/>
        </xdr:nvCxnSpPr>
        <xdr:spPr>
          <a:xfrm>
            <a:off x="11229975" y="1714500"/>
            <a:ext cx="933450" cy="158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Straight Connector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>
            <a:off x="11220450" y="2143125"/>
            <a:ext cx="933450" cy="158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3</xdr:row>
      <xdr:rowOff>28575</xdr:rowOff>
    </xdr:from>
    <xdr:to>
      <xdr:col>18</xdr:col>
      <xdr:colOff>142876</xdr:colOff>
      <xdr:row>20</xdr:row>
      <xdr:rowOff>133350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pSpPr/>
      </xdr:nvGrpSpPr>
      <xdr:grpSpPr>
        <a:xfrm>
          <a:off x="9612004" y="699590"/>
          <a:ext cx="3098185" cy="3857909"/>
          <a:chOff x="9429750" y="228600"/>
          <a:chExt cx="3162300" cy="3771900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pSpPr/>
        </xdr:nvGrpSpPr>
        <xdr:grpSpPr>
          <a:xfrm>
            <a:off x="9692398" y="228600"/>
            <a:ext cx="2899650" cy="1813567"/>
            <a:chOff x="9534525" y="598713"/>
            <a:chExt cx="2628900" cy="1973037"/>
          </a:xfrm>
        </xdr:grpSpPr>
        <xdr:sp macro="" textlink="">
          <xdr:nvSpPr>
            <xdr:cNvPr id="4" name="Rectangle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10067925" y="866775"/>
              <a:ext cx="1152525" cy="428625"/>
            </a:xfrm>
            <a:prstGeom prst="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>
            <a:xfrm>
              <a:off x="10067925" y="1285875"/>
              <a:ext cx="1152525" cy="428625"/>
            </a:xfrm>
            <a:prstGeom prst="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>
            <a:xfrm>
              <a:off x="10067925" y="1714500"/>
              <a:ext cx="1152525" cy="428625"/>
            </a:xfrm>
            <a:prstGeom prst="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/>
          </xdr:nvSpPr>
          <xdr:spPr>
            <a:xfrm>
              <a:off x="10067925" y="2143125"/>
              <a:ext cx="1152525" cy="428625"/>
            </a:xfrm>
            <a:prstGeom prst="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cxnSp macro="">
          <xdr:nvCxnSpPr>
            <xdr:cNvPr id="9" name="Straight Arrow Connector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CxnSpPr/>
          </xdr:nvCxnSpPr>
          <xdr:spPr>
            <a:xfrm>
              <a:off x="9544050" y="866775"/>
              <a:ext cx="476250" cy="1588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Straight Arrow Connector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CxnSpPr/>
          </xdr:nvCxnSpPr>
          <xdr:spPr>
            <a:xfrm>
              <a:off x="9534525" y="1285875"/>
              <a:ext cx="476250" cy="1588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" name="Straight Arrow Connector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CxnSpPr/>
          </xdr:nvCxnSpPr>
          <xdr:spPr>
            <a:xfrm>
              <a:off x="9534525" y="1714500"/>
              <a:ext cx="476250" cy="1588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" name="Straight Arrow Connector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CxnSpPr/>
          </xdr:nvCxnSpPr>
          <xdr:spPr>
            <a:xfrm>
              <a:off x="9544050" y="2143125"/>
              <a:ext cx="476250" cy="1588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" name="Straight Arrow Connector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CxnSpPr/>
          </xdr:nvCxnSpPr>
          <xdr:spPr>
            <a:xfrm rot="16200000" flipH="1">
              <a:off x="10507776" y="731723"/>
              <a:ext cx="268061" cy="2042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Straight Arrow Connector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CxnSpPr/>
          </xdr:nvCxnSpPr>
          <xdr:spPr>
            <a:xfrm rot="16200000" flipH="1">
              <a:off x="10509137" y="1150823"/>
              <a:ext cx="268061" cy="2042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" name="Straight Arrow Connecto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CxnSpPr/>
          </xdr:nvCxnSpPr>
          <xdr:spPr>
            <a:xfrm rot="16200000" flipH="1">
              <a:off x="10509137" y="1588973"/>
              <a:ext cx="268061" cy="2042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" name="Straight Arrow Connector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CxnSpPr/>
          </xdr:nvCxnSpPr>
          <xdr:spPr>
            <a:xfrm rot="16200000" flipH="1">
              <a:off x="10509137" y="2008073"/>
              <a:ext cx="268061" cy="2042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" name="Straight Connector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CxnSpPr/>
          </xdr:nvCxnSpPr>
          <xdr:spPr>
            <a:xfrm>
              <a:off x="11229975" y="866775"/>
              <a:ext cx="933450" cy="158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" name="Straight Connector 2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CxnSpPr/>
          </xdr:nvCxnSpPr>
          <xdr:spPr>
            <a:xfrm>
              <a:off x="11229975" y="1285875"/>
              <a:ext cx="933450" cy="158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" name="Straight Connector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CxnSpPr/>
          </xdr:nvCxnSpPr>
          <xdr:spPr>
            <a:xfrm>
              <a:off x="11229975" y="1714500"/>
              <a:ext cx="933450" cy="158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" name="Straight Connector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CxnSpPr/>
          </xdr:nvCxnSpPr>
          <xdr:spPr>
            <a:xfrm>
              <a:off x="11220450" y="2143125"/>
              <a:ext cx="933450" cy="158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GrpSpPr/>
        </xdr:nvGrpSpPr>
        <xdr:grpSpPr>
          <a:xfrm>
            <a:off x="9429750" y="1791492"/>
            <a:ext cx="3162300" cy="2209008"/>
            <a:chOff x="9296400" y="170088"/>
            <a:chExt cx="2867025" cy="2403250"/>
          </a:xfrm>
        </xdr:grpSpPr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CxnSpPr/>
          </xdr:nvCxnSpPr>
          <xdr:spPr>
            <a:xfrm>
              <a:off x="11220450" y="2571750"/>
              <a:ext cx="771525" cy="1588"/>
            </a:xfrm>
            <a:prstGeom prst="line">
              <a:avLst/>
            </a:prstGeom>
            <a:effectLst/>
          </xdr:spPr>
          <xdr:style>
            <a:lnRef idx="2">
              <a:schemeClr val="accent6"/>
            </a:lnRef>
            <a:fillRef idx="0">
              <a:schemeClr val="accent6"/>
            </a:fillRef>
            <a:effectRef idx="1">
              <a:schemeClr val="accent6"/>
            </a:effectRef>
            <a:fontRef idx="minor">
              <a:schemeClr val="tx1"/>
            </a:fontRef>
          </xdr:style>
        </xdr:cxn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/>
          </xdr:nvSpPr>
          <xdr:spPr>
            <a:xfrm>
              <a:off x="10067925" y="438150"/>
              <a:ext cx="1152525" cy="428625"/>
            </a:xfrm>
            <a:prstGeom prst="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/>
          </xdr:nvSpPr>
          <xdr:spPr>
            <a:xfrm>
              <a:off x="10067925" y="866775"/>
              <a:ext cx="1152525" cy="428625"/>
            </a:xfrm>
            <a:prstGeom prst="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SpPr/>
          </xdr:nvSpPr>
          <xdr:spPr>
            <a:xfrm>
              <a:off x="10067925" y="1285875"/>
              <a:ext cx="1152525" cy="428625"/>
            </a:xfrm>
            <a:prstGeom prst="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SpPr/>
          </xdr:nvSpPr>
          <xdr:spPr>
            <a:xfrm>
              <a:off x="10067925" y="1714500"/>
              <a:ext cx="1152525" cy="428625"/>
            </a:xfrm>
            <a:prstGeom prst="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/>
          </xdr:nvSpPr>
          <xdr:spPr>
            <a:xfrm>
              <a:off x="10067925" y="2143125"/>
              <a:ext cx="1152525" cy="428625"/>
            </a:xfrm>
            <a:prstGeom prst="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en-IN" sz="1100"/>
            </a:p>
          </xdr:txBody>
        </xdr:sp>
        <xdr:cxnSp macro="">
          <xdr:nvCxnSpPr>
            <xdr:cNvPr id="33" name="Straight Arrow Connector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CxnSpPr/>
          </xdr:nvCxnSpPr>
          <xdr:spPr>
            <a:xfrm>
              <a:off x="9505950" y="438150"/>
              <a:ext cx="476250" cy="1588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" name="Straight Arrow Connector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CxnSpPr/>
          </xdr:nvCxnSpPr>
          <xdr:spPr>
            <a:xfrm>
              <a:off x="9544050" y="866775"/>
              <a:ext cx="476250" cy="1588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" name="Straight Arrow Connector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CxnSpPr/>
          </xdr:nvCxnSpPr>
          <xdr:spPr>
            <a:xfrm>
              <a:off x="9534525" y="1285875"/>
              <a:ext cx="476250" cy="1588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" name="Straight Arrow Connector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CxnSpPr/>
          </xdr:nvCxnSpPr>
          <xdr:spPr>
            <a:xfrm>
              <a:off x="9534525" y="1714500"/>
              <a:ext cx="476250" cy="1588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" name="Straight Arrow Connector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CxnSpPr/>
          </xdr:nvCxnSpPr>
          <xdr:spPr>
            <a:xfrm>
              <a:off x="9544050" y="2143125"/>
              <a:ext cx="476250" cy="1588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" name="Straight Arrow Connector 37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CxnSpPr>
              <a:endCxn id="28" idx="2"/>
            </xdr:cNvCxnSpPr>
          </xdr:nvCxnSpPr>
          <xdr:spPr>
            <a:xfrm rot="16200000" flipH="1">
              <a:off x="10507776" y="731723"/>
              <a:ext cx="268061" cy="2042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" name="Straight Arrow Connector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CxnSpPr/>
          </xdr:nvCxnSpPr>
          <xdr:spPr>
            <a:xfrm rot="16200000" flipH="1">
              <a:off x="10509137" y="303098"/>
              <a:ext cx="268061" cy="2042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0" name="Straight Arrow Connector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CxnSpPr/>
          </xdr:nvCxnSpPr>
          <xdr:spPr>
            <a:xfrm rot="16200000" flipH="1">
              <a:off x="10509137" y="1150823"/>
              <a:ext cx="268061" cy="2042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" name="Straight Arrow Connector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CxnSpPr/>
          </xdr:nvCxnSpPr>
          <xdr:spPr>
            <a:xfrm rot="16200000" flipH="1">
              <a:off x="10509137" y="1588973"/>
              <a:ext cx="268061" cy="2042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" name="Straight Arrow Connector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CxnSpPr/>
          </xdr:nvCxnSpPr>
          <xdr:spPr>
            <a:xfrm rot="16200000" flipH="1">
              <a:off x="10509137" y="2008073"/>
              <a:ext cx="268061" cy="2042"/>
            </a:xfrm>
            <a:prstGeom prst="straightConnector1">
              <a:avLst/>
            </a:prstGeom>
            <a:ln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CxnSpPr/>
          </xdr:nvCxnSpPr>
          <xdr:spPr>
            <a:xfrm>
              <a:off x="9296400" y="2571750"/>
              <a:ext cx="771525" cy="1588"/>
            </a:xfrm>
            <a:prstGeom prst="line">
              <a:avLst/>
            </a:prstGeom>
            <a:effectLst/>
          </xdr:spPr>
          <xdr:style>
            <a:lnRef idx="2">
              <a:schemeClr val="accent6"/>
            </a:lnRef>
            <a:fillRef idx="0">
              <a:schemeClr val="accent6"/>
            </a:fillRef>
            <a:effectRef idx="1">
              <a:schemeClr val="accent6"/>
            </a:effectRef>
            <a:fontRef idx="minor">
              <a:schemeClr val="tx1"/>
            </a:fontRef>
          </xdr:style>
        </xdr:cxnSp>
        <xdr:cxnSp macro="">
          <xdr:nvCxnSpPr>
            <xdr:cNvPr id="45" name="Straight Connector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CxnSpPr/>
          </xdr:nvCxnSpPr>
          <xdr:spPr>
            <a:xfrm>
              <a:off x="11229975" y="438150"/>
              <a:ext cx="933450" cy="158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" name="Straight Connector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CxnSpPr/>
          </xdr:nvCxnSpPr>
          <xdr:spPr>
            <a:xfrm>
              <a:off x="11229975" y="866775"/>
              <a:ext cx="933450" cy="158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" name="Straight Connector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CxnSpPr/>
          </xdr:nvCxnSpPr>
          <xdr:spPr>
            <a:xfrm>
              <a:off x="11229975" y="1285875"/>
              <a:ext cx="933450" cy="158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" name="Straight Connector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CxnSpPr/>
          </xdr:nvCxnSpPr>
          <xdr:spPr>
            <a:xfrm>
              <a:off x="11229975" y="1714500"/>
              <a:ext cx="933450" cy="158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" name="Straight Connector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CxnSpPr/>
          </xdr:nvCxnSpPr>
          <xdr:spPr>
            <a:xfrm>
              <a:off x="11220450" y="2143125"/>
              <a:ext cx="933450" cy="1588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2"/>
  <sheetViews>
    <sheetView topLeftCell="A8" workbookViewId="0">
      <selection activeCell="L24" sqref="L24"/>
    </sheetView>
  </sheetViews>
  <sheetFormatPr defaultColWidth="9.109375" defaultRowHeight="14.4" x14ac:dyDescent="0.3"/>
  <cols>
    <col min="1" max="1" width="11.109375" style="1" bestFit="1" customWidth="1"/>
    <col min="2" max="2" width="6.109375" style="1" bestFit="1" customWidth="1"/>
    <col min="3" max="3" width="5.5546875" style="1" bestFit="1" customWidth="1"/>
    <col min="4" max="4" width="4.6640625" style="1" bestFit="1" customWidth="1"/>
    <col min="5" max="5" width="8.5546875" style="1" customWidth="1"/>
    <col min="6" max="6" width="12" style="1" bestFit="1" customWidth="1"/>
    <col min="7" max="7" width="9.109375" style="1"/>
    <col min="8" max="8" width="12.33203125" style="1" bestFit="1" customWidth="1"/>
    <col min="9" max="9" width="11.109375" style="1" customWidth="1"/>
    <col min="10" max="10" width="16.5546875" style="1" bestFit="1" customWidth="1"/>
    <col min="11" max="11" width="12.33203125" style="1" customWidth="1"/>
    <col min="12" max="12" width="9.5546875" style="1" customWidth="1"/>
    <col min="13" max="15" width="9.109375" style="1"/>
    <col min="16" max="16" width="11.6640625" style="1" customWidth="1"/>
    <col min="17" max="16384" width="9.109375" style="1"/>
  </cols>
  <sheetData>
    <row r="1" spans="1:19" ht="15" thickBot="1" x14ac:dyDescent="0.35"/>
    <row r="2" spans="1:19" ht="20.25" customHeight="1" thickBot="1" x14ac:dyDescent="0.35">
      <c r="A2" s="86" t="s">
        <v>0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8"/>
    </row>
    <row r="3" spans="1:19" x14ac:dyDescent="0.3">
      <c r="A3" s="89" t="s">
        <v>4</v>
      </c>
      <c r="B3" s="90"/>
      <c r="C3" s="91"/>
      <c r="D3" s="98" t="s">
        <v>5</v>
      </c>
      <c r="E3" s="90"/>
      <c r="F3" s="91"/>
      <c r="G3" s="95" t="s">
        <v>6</v>
      </c>
      <c r="H3" s="96"/>
      <c r="I3" s="96"/>
      <c r="J3" s="97"/>
      <c r="K3" s="89" t="s">
        <v>7</v>
      </c>
      <c r="L3" s="90"/>
      <c r="M3" s="91"/>
      <c r="Q3" s="39"/>
      <c r="R3" s="39"/>
      <c r="S3" s="39"/>
    </row>
    <row r="4" spans="1:19" ht="57.6" x14ac:dyDescent="0.3">
      <c r="A4" s="2"/>
      <c r="B4" s="3" t="s">
        <v>1</v>
      </c>
      <c r="C4" s="4" t="s">
        <v>3</v>
      </c>
      <c r="D4" s="5"/>
      <c r="E4" s="3" t="s">
        <v>1</v>
      </c>
      <c r="F4" s="4" t="s">
        <v>3</v>
      </c>
      <c r="G4" s="6" t="s">
        <v>14</v>
      </c>
      <c r="H4" s="7" t="s">
        <v>15</v>
      </c>
      <c r="I4" s="7" t="s">
        <v>16</v>
      </c>
      <c r="J4" s="8" t="s">
        <v>17</v>
      </c>
      <c r="K4" s="2"/>
      <c r="L4" s="3" t="s">
        <v>1</v>
      </c>
      <c r="M4" s="4" t="s">
        <v>3</v>
      </c>
      <c r="O4" s="34" t="s">
        <v>70</v>
      </c>
      <c r="Q4" s="42" t="s">
        <v>69</v>
      </c>
      <c r="R4" s="9"/>
      <c r="S4" s="41" t="s">
        <v>68</v>
      </c>
    </row>
    <row r="5" spans="1:19" x14ac:dyDescent="0.3">
      <c r="A5" s="10" t="s">
        <v>12</v>
      </c>
      <c r="B5" s="11">
        <v>29000</v>
      </c>
      <c r="C5" s="12" t="s">
        <v>71</v>
      </c>
      <c r="D5" s="13" t="s">
        <v>8</v>
      </c>
      <c r="E5" s="11">
        <v>10</v>
      </c>
      <c r="F5" s="12" t="s">
        <v>28</v>
      </c>
      <c r="G5" s="10" t="s">
        <v>30</v>
      </c>
      <c r="H5" s="11">
        <v>0</v>
      </c>
      <c r="I5" s="11">
        <v>0</v>
      </c>
      <c r="J5" s="12">
        <v>0</v>
      </c>
      <c r="K5" s="92" t="s">
        <v>18</v>
      </c>
      <c r="L5" s="93"/>
      <c r="M5" s="94"/>
      <c r="S5" s="40" t="s">
        <v>34</v>
      </c>
    </row>
    <row r="6" spans="1:19" x14ac:dyDescent="0.3">
      <c r="A6" s="10" t="s">
        <v>13</v>
      </c>
      <c r="B6" s="11">
        <v>3600</v>
      </c>
      <c r="C6" s="12" t="s">
        <v>71</v>
      </c>
      <c r="D6" s="13" t="s">
        <v>9</v>
      </c>
      <c r="E6" s="11">
        <v>18</v>
      </c>
      <c r="F6" s="12" t="s">
        <v>29</v>
      </c>
      <c r="G6" s="10" t="s">
        <v>31</v>
      </c>
      <c r="H6" s="11">
        <v>12</v>
      </c>
      <c r="I6" s="11">
        <v>50</v>
      </c>
      <c r="J6" s="12">
        <v>10</v>
      </c>
      <c r="K6" s="10" t="s">
        <v>19</v>
      </c>
      <c r="L6" s="11">
        <v>5</v>
      </c>
      <c r="M6" s="12"/>
    </row>
    <row r="7" spans="1:19" x14ac:dyDescent="0.3">
      <c r="A7" s="10" t="s">
        <v>11</v>
      </c>
      <c r="B7" s="11">
        <v>4000</v>
      </c>
      <c r="C7" s="12" t="s">
        <v>27</v>
      </c>
      <c r="D7" s="13" t="s">
        <v>10</v>
      </c>
      <c r="E7" s="11">
        <v>54</v>
      </c>
      <c r="F7" s="12" t="s">
        <v>29</v>
      </c>
      <c r="G7" s="10" t="s">
        <v>32</v>
      </c>
      <c r="H7" s="11">
        <v>22.5</v>
      </c>
      <c r="I7" s="11">
        <v>50</v>
      </c>
      <c r="J7" s="12">
        <v>18</v>
      </c>
      <c r="K7" s="10" t="s">
        <v>20</v>
      </c>
      <c r="L7" s="14">
        <f>0.785*(L6/8)^2</f>
        <v>0.306640625</v>
      </c>
      <c r="M7" s="12" t="s">
        <v>36</v>
      </c>
      <c r="S7" s="40" t="s">
        <v>33</v>
      </c>
    </row>
    <row r="8" spans="1:19" x14ac:dyDescent="0.3">
      <c r="A8" s="10" t="s">
        <v>26</v>
      </c>
      <c r="B8" s="11">
        <v>60000</v>
      </c>
      <c r="C8" s="12" t="s">
        <v>27</v>
      </c>
      <c r="D8" s="13" t="s">
        <v>23</v>
      </c>
      <c r="E8" s="11">
        <f>0.8*E6</f>
        <v>14.4</v>
      </c>
      <c r="F8" s="12" t="s">
        <v>29</v>
      </c>
      <c r="G8" s="10" t="s">
        <v>33</v>
      </c>
      <c r="H8" s="11">
        <v>33</v>
      </c>
      <c r="I8" s="11">
        <v>50</v>
      </c>
      <c r="J8" s="12">
        <v>26</v>
      </c>
      <c r="K8" s="15" t="s">
        <v>21</v>
      </c>
      <c r="L8" s="16">
        <v>16</v>
      </c>
      <c r="M8" s="12" t="s">
        <v>37</v>
      </c>
      <c r="S8" s="40"/>
    </row>
    <row r="9" spans="1:19" ht="15" thickBot="1" x14ac:dyDescent="0.35">
      <c r="A9" s="17" t="s">
        <v>22</v>
      </c>
      <c r="B9" s="18">
        <v>0.85</v>
      </c>
      <c r="C9" s="19"/>
      <c r="D9" s="20"/>
      <c r="E9" s="21"/>
      <c r="F9" s="22"/>
      <c r="G9" s="10" t="s">
        <v>34</v>
      </c>
      <c r="H9" s="11">
        <v>43.5</v>
      </c>
      <c r="I9" s="11">
        <v>50</v>
      </c>
      <c r="J9" s="12">
        <v>32</v>
      </c>
      <c r="K9" s="92" t="s">
        <v>25</v>
      </c>
      <c r="L9" s="93"/>
      <c r="M9" s="94"/>
      <c r="S9" s="40" t="s">
        <v>32</v>
      </c>
    </row>
    <row r="10" spans="1:19" ht="15" thickBot="1" x14ac:dyDescent="0.35">
      <c r="A10" s="23" t="s">
        <v>38</v>
      </c>
      <c r="B10" s="21">
        <v>1</v>
      </c>
      <c r="C10" s="22"/>
      <c r="D10" s="9"/>
      <c r="E10" s="9"/>
      <c r="F10" s="9"/>
      <c r="G10" s="24" t="s">
        <v>35</v>
      </c>
      <c r="H10" s="21">
        <v>54</v>
      </c>
      <c r="I10" s="21">
        <v>30</v>
      </c>
      <c r="J10" s="22">
        <v>35</v>
      </c>
      <c r="K10" s="10" t="s">
        <v>19</v>
      </c>
      <c r="L10" s="11">
        <v>4</v>
      </c>
      <c r="M10" s="12"/>
      <c r="S10" s="40"/>
    </row>
    <row r="11" spans="1:19" x14ac:dyDescent="0.3">
      <c r="A11" s="9"/>
      <c r="B11" s="9"/>
      <c r="C11" s="9"/>
      <c r="D11" s="9"/>
      <c r="E11" s="9"/>
      <c r="F11" s="9"/>
      <c r="G11" s="9"/>
      <c r="H11" s="9"/>
      <c r="I11" s="9"/>
      <c r="J11" s="9"/>
      <c r="K11" s="10" t="s">
        <v>20</v>
      </c>
      <c r="L11" s="14">
        <f>0.785*(L10/8)^2</f>
        <v>0.19625000000000001</v>
      </c>
      <c r="M11" s="12" t="s">
        <v>36</v>
      </c>
      <c r="S11" s="40" t="s">
        <v>31</v>
      </c>
    </row>
    <row r="12" spans="1:19" ht="15" thickBot="1" x14ac:dyDescent="0.35">
      <c r="A12" s="9"/>
      <c r="B12" s="9"/>
      <c r="C12" s="9"/>
      <c r="D12" s="9"/>
      <c r="E12" s="9"/>
      <c r="F12" s="9"/>
      <c r="G12" s="9"/>
      <c r="H12" s="9"/>
      <c r="I12" s="9"/>
      <c r="J12" s="9"/>
      <c r="K12" s="23" t="s">
        <v>24</v>
      </c>
      <c r="L12" s="21">
        <v>16</v>
      </c>
      <c r="M12" s="22" t="s">
        <v>37</v>
      </c>
      <c r="S12" s="40"/>
    </row>
    <row r="13" spans="1:19" x14ac:dyDescent="0.3">
      <c r="S13" s="40" t="s">
        <v>67</v>
      </c>
    </row>
    <row r="14" spans="1:19" x14ac:dyDescent="0.3">
      <c r="F14" s="80" t="s">
        <v>40</v>
      </c>
      <c r="G14" s="81"/>
      <c r="H14" s="82"/>
    </row>
    <row r="15" spans="1:19" x14ac:dyDescent="0.3">
      <c r="F15" s="25" t="s">
        <v>44</v>
      </c>
      <c r="G15" s="11">
        <f>H5*J5+H6*J6+H7*J7+H8*J8+H9*J9+H10*J10</f>
        <v>4665</v>
      </c>
      <c r="H15" s="11" t="s">
        <v>42</v>
      </c>
    </row>
    <row r="16" spans="1:19" x14ac:dyDescent="0.3">
      <c r="F16" s="25" t="s">
        <v>39</v>
      </c>
      <c r="G16" s="11">
        <f>SUM(J5:J10)</f>
        <v>121</v>
      </c>
      <c r="H16" s="11" t="s">
        <v>43</v>
      </c>
    </row>
    <row r="17" spans="1:18" x14ac:dyDescent="0.3">
      <c r="F17" s="25" t="s">
        <v>41</v>
      </c>
      <c r="G17" s="11">
        <f>0.9*SUM(I5:I10)</f>
        <v>207</v>
      </c>
      <c r="H17" s="11" t="s">
        <v>43</v>
      </c>
    </row>
    <row r="19" spans="1:18" ht="15" thickBot="1" x14ac:dyDescent="0.35"/>
    <row r="20" spans="1:18" x14ac:dyDescent="0.3">
      <c r="A20" s="60" t="s">
        <v>56</v>
      </c>
      <c r="B20" s="61"/>
      <c r="C20" s="61"/>
      <c r="D20" s="61"/>
      <c r="E20" s="83"/>
      <c r="F20" s="60" t="s">
        <v>57</v>
      </c>
      <c r="G20" s="61"/>
      <c r="H20" s="61"/>
      <c r="I20" s="61"/>
      <c r="J20" s="83"/>
      <c r="K20" s="60" t="s">
        <v>58</v>
      </c>
      <c r="L20" s="61"/>
      <c r="M20" s="61"/>
      <c r="N20" s="61"/>
      <c r="O20" s="61"/>
      <c r="P20" s="62"/>
    </row>
    <row r="21" spans="1:18" x14ac:dyDescent="0.3">
      <c r="A21" s="27" t="s">
        <v>48</v>
      </c>
      <c r="B21" s="28" t="s">
        <v>49</v>
      </c>
      <c r="C21" s="28" t="s">
        <v>2</v>
      </c>
      <c r="D21" s="84" t="s">
        <v>50</v>
      </c>
      <c r="E21" s="85"/>
      <c r="F21" s="27" t="s">
        <v>48</v>
      </c>
      <c r="G21" s="28" t="s">
        <v>49</v>
      </c>
      <c r="H21" s="28" t="s">
        <v>2</v>
      </c>
      <c r="I21" s="84" t="s">
        <v>50</v>
      </c>
      <c r="J21" s="85"/>
      <c r="K21" s="70" t="s">
        <v>59</v>
      </c>
      <c r="L21" s="71"/>
      <c r="M21" s="71"/>
      <c r="N21" s="71"/>
      <c r="O21" s="71"/>
      <c r="P21" s="72"/>
    </row>
    <row r="22" spans="1:18" ht="15.6" x14ac:dyDescent="0.3">
      <c r="A22" s="2" t="s">
        <v>45</v>
      </c>
      <c r="B22" s="3">
        <f>ROUND(vc($B$7,$G$15,$G$16,$G$17,$E$5,$E$8,$E$6,$B$10)/1000,0)</f>
        <v>214</v>
      </c>
      <c r="C22" s="3" t="s">
        <v>47</v>
      </c>
      <c r="D22" s="73" t="str">
        <f>IF(B23&gt;G16, "OKAY - SAFE IN SHEAR", "NOT OKAY- FAILS IN SHEAR")</f>
        <v>OKAY - SAFE IN SHEAR</v>
      </c>
      <c r="E22" s="74"/>
      <c r="F22" s="2" t="s">
        <v>52</v>
      </c>
      <c r="G22" s="3">
        <f>ROUND(mn($B$7,$B$8,$L$7,$L$8,$E$7,$E$6,$E$5,$E$8,$G$17,$B$9),0)</f>
        <v>5718</v>
      </c>
      <c r="H22" s="3" t="s">
        <v>42</v>
      </c>
      <c r="I22" s="77"/>
      <c r="J22" s="78"/>
      <c r="K22" s="30" t="s">
        <v>61</v>
      </c>
      <c r="L22" s="38">
        <f>(2*L7)/(E5*L8)</f>
        <v>3.8330078124999998E-3</v>
      </c>
      <c r="M22" s="73" t="str">
        <f>IF(L22&gt;=L23,"Vertical steel provided is greater than the minimum required, HENCE OKAY","Vertical steel provided is than than the minimum required, HENCE NOT OKAY")</f>
        <v>Vertical steel provided is greater than the minimum required, HENCE OKAY</v>
      </c>
      <c r="N22" s="73"/>
      <c r="O22" s="73"/>
      <c r="P22" s="79"/>
    </row>
    <row r="23" spans="1:18" ht="16.2" thickBot="1" x14ac:dyDescent="0.35">
      <c r="A23" s="32" t="s">
        <v>46</v>
      </c>
      <c r="B23" s="33">
        <f>0.75*B22</f>
        <v>160.5</v>
      </c>
      <c r="C23" s="33" t="s">
        <v>47</v>
      </c>
      <c r="D23" s="75"/>
      <c r="E23" s="76"/>
      <c r="F23" s="2" t="s">
        <v>54</v>
      </c>
      <c r="G23" s="3">
        <f>ROUND(neutralaxis($B$7,$B$8,$L$7,$L$8,$E$7,$E$6,$E$5,$E$8,$G$17,$B$9),2)</f>
        <v>21.01</v>
      </c>
      <c r="H23" s="3" t="s">
        <v>37</v>
      </c>
      <c r="I23" s="73" t="str">
        <f>IF(G23&lt;G24,"TENSION CONTROLLED, phi=0.9","COMPRESSION CONTROLLED, phi=0.65")</f>
        <v>TENSION CONTROLLED, phi=0.9</v>
      </c>
      <c r="J23" s="74"/>
      <c r="K23" s="30" t="s">
        <v>62</v>
      </c>
      <c r="L23" s="31">
        <f>rholmin(G16,B23,E6,E7,L24)</f>
        <v>2.5117187500000001E-3</v>
      </c>
      <c r="M23" s="73"/>
      <c r="N23" s="73"/>
      <c r="O23" s="73"/>
      <c r="P23" s="79"/>
    </row>
    <row r="24" spans="1:18" ht="18" customHeight="1" x14ac:dyDescent="0.3">
      <c r="A24" s="34"/>
      <c r="B24" s="34"/>
      <c r="C24" s="34"/>
      <c r="D24" s="34"/>
      <c r="E24" s="34"/>
      <c r="F24" s="2" t="s">
        <v>55</v>
      </c>
      <c r="G24" s="3">
        <f>0.375*E8*12</f>
        <v>64.800000000000011</v>
      </c>
      <c r="H24" s="3" t="s">
        <v>37</v>
      </c>
      <c r="I24" s="73"/>
      <c r="J24" s="74"/>
      <c r="K24" s="30" t="s">
        <v>63</v>
      </c>
      <c r="L24" s="38">
        <f>(2*L11)/(E5*L12)</f>
        <v>2.453125E-3</v>
      </c>
      <c r="M24" s="73" t="str">
        <f>IF(L24&gt;=L25,"Horizontal steel provided is greater than the minimum required, HENCE OKAY","Horizontal steel provided is than than the minimum required, HENCE NOT OKAY")</f>
        <v>Horizontal steel provided is than than the minimum required, HENCE NOT OKAY</v>
      </c>
      <c r="N24" s="73"/>
      <c r="O24" s="73"/>
      <c r="P24" s="79"/>
      <c r="Q24" s="26"/>
      <c r="R24" s="26"/>
    </row>
    <row r="25" spans="1:18" ht="15.6" x14ac:dyDescent="0.3">
      <c r="A25" s="34"/>
      <c r="B25" s="34"/>
      <c r="C25" s="34"/>
      <c r="D25" s="34"/>
      <c r="E25" s="34"/>
      <c r="F25" s="30" t="s">
        <v>53</v>
      </c>
      <c r="G25" s="3">
        <f>IF(G23&lt;G24,0.9,0.65)</f>
        <v>0.9</v>
      </c>
      <c r="H25" s="3"/>
      <c r="I25" s="73" t="str">
        <f>IF(G26&gt;G15,"OKAY-SAFE IN FLEXURE","NOT OKAY- FAILS IN FLEXURE")</f>
        <v>OKAY-SAFE IN FLEXURE</v>
      </c>
      <c r="J25" s="74"/>
      <c r="K25" s="30" t="s">
        <v>64</v>
      </c>
      <c r="L25" s="3">
        <f>rhotmin(G16,B23)</f>
        <v>2.5000000000000001E-3</v>
      </c>
      <c r="M25" s="73"/>
      <c r="N25" s="73"/>
      <c r="O25" s="73"/>
      <c r="P25" s="79"/>
      <c r="Q25" s="26"/>
      <c r="R25" s="26"/>
    </row>
    <row r="26" spans="1:18" ht="15" thickBot="1" x14ac:dyDescent="0.35">
      <c r="A26" s="34"/>
      <c r="B26" s="34"/>
      <c r="C26" s="34"/>
      <c r="D26" s="34"/>
      <c r="E26" s="34"/>
      <c r="F26" s="32" t="s">
        <v>51</v>
      </c>
      <c r="G26" s="33">
        <f>G25*G22</f>
        <v>5146.2</v>
      </c>
      <c r="H26" s="33" t="s">
        <v>42</v>
      </c>
      <c r="I26" s="75"/>
      <c r="J26" s="76"/>
      <c r="K26" s="70" t="s">
        <v>60</v>
      </c>
      <c r="L26" s="71"/>
      <c r="M26" s="71"/>
      <c r="N26" s="71"/>
      <c r="O26" s="71"/>
      <c r="P26" s="72"/>
    </row>
    <row r="27" spans="1:18" ht="15" customHeight="1" x14ac:dyDescent="0.3">
      <c r="A27" s="34"/>
      <c r="B27" s="34"/>
      <c r="C27" s="34"/>
      <c r="D27" s="34"/>
      <c r="E27" s="34"/>
      <c r="F27" s="35"/>
      <c r="G27" s="35"/>
      <c r="H27" s="35"/>
      <c r="I27" s="55"/>
      <c r="J27" s="55"/>
      <c r="K27" s="63" t="s">
        <v>65</v>
      </c>
      <c r="L27" s="64"/>
      <c r="M27" s="67">
        <f>minspacing($E$6,$E$5,$G$16,$B$23)</f>
        <v>18</v>
      </c>
      <c r="N27" s="51" t="str">
        <f>IF(M27&gt;=L8,"Okay","Not Okay")</f>
        <v>Okay</v>
      </c>
      <c r="O27" s="52"/>
      <c r="P27" s="53"/>
    </row>
    <row r="28" spans="1:18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63"/>
      <c r="L28" s="64"/>
      <c r="M28" s="68"/>
      <c r="N28" s="54"/>
      <c r="O28" s="55"/>
      <c r="P28" s="56"/>
    </row>
    <row r="29" spans="1:18" ht="9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63"/>
      <c r="L29" s="64"/>
      <c r="M29" s="69"/>
      <c r="N29" s="57"/>
      <c r="O29" s="58"/>
      <c r="P29" s="59"/>
    </row>
    <row r="30" spans="1:18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63" t="s">
        <v>66</v>
      </c>
      <c r="L30" s="64"/>
      <c r="M30" s="67">
        <f>minspacing($E$6,$E$5,$G$16,$B$23)</f>
        <v>18</v>
      </c>
      <c r="N30" s="51" t="str">
        <f>IF(M30&gt;=L12,"Okay","Not Okay")</f>
        <v>Okay</v>
      </c>
      <c r="O30" s="52"/>
      <c r="P30" s="53"/>
    </row>
    <row r="31" spans="1:18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63"/>
      <c r="L31" s="64"/>
      <c r="M31" s="68"/>
      <c r="N31" s="54"/>
      <c r="O31" s="55"/>
      <c r="P31" s="56"/>
    </row>
    <row r="32" spans="1:18" ht="15" thickBot="1" x14ac:dyDescent="0.3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65"/>
      <c r="L32" s="66"/>
      <c r="M32" s="69"/>
      <c r="N32" s="57"/>
      <c r="O32" s="58"/>
      <c r="P32" s="59"/>
    </row>
  </sheetData>
  <mergeCells count="28">
    <mergeCell ref="A2:M2"/>
    <mergeCell ref="K3:M3"/>
    <mergeCell ref="K5:M5"/>
    <mergeCell ref="K9:M9"/>
    <mergeCell ref="G3:J3"/>
    <mergeCell ref="A3:C3"/>
    <mergeCell ref="D3:F3"/>
    <mergeCell ref="F14:H14"/>
    <mergeCell ref="D22:E23"/>
    <mergeCell ref="A20:E20"/>
    <mergeCell ref="D21:E21"/>
    <mergeCell ref="I21:J21"/>
    <mergeCell ref="F20:J20"/>
    <mergeCell ref="I23:J24"/>
    <mergeCell ref="I25:J26"/>
    <mergeCell ref="I22:J22"/>
    <mergeCell ref="I27:J27"/>
    <mergeCell ref="M24:P25"/>
    <mergeCell ref="M22:P23"/>
    <mergeCell ref="N30:P32"/>
    <mergeCell ref="K20:P20"/>
    <mergeCell ref="K27:L29"/>
    <mergeCell ref="K30:L32"/>
    <mergeCell ref="M27:M29"/>
    <mergeCell ref="M30:M32"/>
    <mergeCell ref="K21:P21"/>
    <mergeCell ref="K26:P26"/>
    <mergeCell ref="N27:P29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9"/>
  <sheetViews>
    <sheetView tabSelected="1" zoomScale="67" workbookViewId="0">
      <selection activeCell="G2" sqref="G2"/>
    </sheetView>
  </sheetViews>
  <sheetFormatPr defaultColWidth="9.109375" defaultRowHeight="14.4" x14ac:dyDescent="0.3"/>
  <cols>
    <col min="1" max="1" width="11.109375" style="1" bestFit="1" customWidth="1"/>
    <col min="2" max="2" width="6.109375" style="1" bestFit="1" customWidth="1"/>
    <col min="3" max="3" width="5.5546875" style="1" bestFit="1" customWidth="1"/>
    <col min="4" max="4" width="6.44140625" style="1" customWidth="1"/>
    <col min="5" max="5" width="8.5546875" style="1" customWidth="1"/>
    <col min="6" max="6" width="12" style="1" bestFit="1" customWidth="1"/>
    <col min="7" max="7" width="9.109375" style="1"/>
    <col min="8" max="8" width="12.33203125" style="1" bestFit="1" customWidth="1"/>
    <col min="9" max="9" width="16.33203125" style="1" customWidth="1"/>
    <col min="10" max="10" width="16.5546875" style="1" bestFit="1" customWidth="1"/>
    <col min="11" max="11" width="12.33203125" style="1" customWidth="1"/>
    <col min="12" max="12" width="9.5546875" style="1" customWidth="1"/>
    <col min="13" max="15" width="9.109375" style="1"/>
    <col min="16" max="16" width="11.6640625" style="1" customWidth="1"/>
    <col min="17" max="16384" width="9.109375" style="1"/>
  </cols>
  <sheetData>
    <row r="2" spans="1:19" ht="23.4" x14ac:dyDescent="0.45">
      <c r="I2" s="101" t="s">
        <v>79</v>
      </c>
    </row>
    <row r="3" spans="1:19" ht="15" thickBot="1" x14ac:dyDescent="0.35">
      <c r="P3" s="40" t="s">
        <v>69</v>
      </c>
    </row>
    <row r="4" spans="1:19" ht="20.25" customHeight="1" thickBot="1" x14ac:dyDescent="0.35">
      <c r="A4" s="86" t="s">
        <v>0</v>
      </c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8"/>
      <c r="S4" s="1" t="s">
        <v>35</v>
      </c>
    </row>
    <row r="5" spans="1:19" x14ac:dyDescent="0.3">
      <c r="A5" s="89" t="s">
        <v>4</v>
      </c>
      <c r="B5" s="90"/>
      <c r="C5" s="91"/>
      <c r="D5" s="98" t="s">
        <v>5</v>
      </c>
      <c r="E5" s="90"/>
      <c r="F5" s="99"/>
      <c r="G5" s="95" t="s">
        <v>6</v>
      </c>
      <c r="H5" s="96"/>
      <c r="I5" s="96"/>
      <c r="J5" s="97"/>
      <c r="K5" s="98" t="s">
        <v>7</v>
      </c>
      <c r="L5" s="90"/>
      <c r="M5" s="91"/>
      <c r="Q5" s="39"/>
      <c r="R5" s="39"/>
      <c r="S5" s="39"/>
    </row>
    <row r="6" spans="1:19" ht="57.6" x14ac:dyDescent="0.3">
      <c r="A6" s="2"/>
      <c r="B6" s="3" t="s">
        <v>1</v>
      </c>
      <c r="C6" s="4" t="s">
        <v>3</v>
      </c>
      <c r="D6" s="5"/>
      <c r="E6" s="3" t="s">
        <v>1</v>
      </c>
      <c r="F6" s="29" t="s">
        <v>3</v>
      </c>
      <c r="G6" s="37" t="s">
        <v>14</v>
      </c>
      <c r="H6" s="7" t="s">
        <v>15</v>
      </c>
      <c r="I6" s="7" t="s">
        <v>17</v>
      </c>
      <c r="J6" s="8" t="s">
        <v>16</v>
      </c>
      <c r="K6" s="5"/>
      <c r="L6" s="3" t="s">
        <v>1</v>
      </c>
      <c r="M6" s="4" t="s">
        <v>3</v>
      </c>
      <c r="Q6" s="9"/>
      <c r="R6" s="9"/>
      <c r="S6" s="46" t="s">
        <v>75</v>
      </c>
    </row>
    <row r="7" spans="1:19" x14ac:dyDescent="0.3">
      <c r="A7" s="10" t="s">
        <v>12</v>
      </c>
      <c r="B7" s="11">
        <v>29000</v>
      </c>
      <c r="C7" s="12" t="s">
        <v>71</v>
      </c>
      <c r="D7" s="13" t="s">
        <v>8</v>
      </c>
      <c r="E7" s="11">
        <v>14</v>
      </c>
      <c r="F7" s="47" t="s">
        <v>28</v>
      </c>
      <c r="G7" s="10" t="s">
        <v>30</v>
      </c>
      <c r="H7" s="11">
        <v>0</v>
      </c>
      <c r="I7" s="11">
        <v>0</v>
      </c>
      <c r="J7" s="12">
        <v>0</v>
      </c>
      <c r="K7" s="100" t="s">
        <v>18</v>
      </c>
      <c r="L7" s="93"/>
      <c r="M7" s="94"/>
      <c r="O7" s="34" t="s">
        <v>70</v>
      </c>
    </row>
    <row r="8" spans="1:19" x14ac:dyDescent="0.3">
      <c r="A8" s="10" t="s">
        <v>13</v>
      </c>
      <c r="B8" s="11">
        <v>3600</v>
      </c>
      <c r="C8" s="12" t="s">
        <v>71</v>
      </c>
      <c r="D8" s="13" t="s">
        <v>9</v>
      </c>
      <c r="E8" s="11">
        <v>28</v>
      </c>
      <c r="F8" s="47" t="s">
        <v>29</v>
      </c>
      <c r="G8" s="10" t="s">
        <v>31</v>
      </c>
      <c r="H8" s="11">
        <v>12</v>
      </c>
      <c r="I8" s="11">
        <v>50</v>
      </c>
      <c r="J8" s="12">
        <v>10</v>
      </c>
      <c r="K8" s="13" t="s">
        <v>19</v>
      </c>
      <c r="L8" s="11">
        <v>5</v>
      </c>
      <c r="M8" s="12"/>
      <c r="S8" s="1" t="s">
        <v>73</v>
      </c>
    </row>
    <row r="9" spans="1:19" x14ac:dyDescent="0.3">
      <c r="A9" s="10" t="s">
        <v>11</v>
      </c>
      <c r="B9" s="11">
        <v>4000</v>
      </c>
      <c r="C9" s="12" t="s">
        <v>27</v>
      </c>
      <c r="D9" s="13" t="s">
        <v>10</v>
      </c>
      <c r="E9" s="11">
        <v>96</v>
      </c>
      <c r="F9" s="47" t="s">
        <v>29</v>
      </c>
      <c r="G9" s="10" t="s">
        <v>32</v>
      </c>
      <c r="H9" s="11">
        <v>22.5</v>
      </c>
      <c r="I9" s="11">
        <v>50</v>
      </c>
      <c r="J9" s="12">
        <v>15</v>
      </c>
      <c r="K9" s="13" t="s">
        <v>20</v>
      </c>
      <c r="L9" s="14">
        <f>0.785*(L8/8)^2</f>
        <v>0.306640625</v>
      </c>
      <c r="M9" s="12" t="s">
        <v>36</v>
      </c>
    </row>
    <row r="10" spans="1:19" x14ac:dyDescent="0.3">
      <c r="A10" s="10" t="s">
        <v>26</v>
      </c>
      <c r="B10" s="11">
        <v>60000</v>
      </c>
      <c r="C10" s="12" t="s">
        <v>27</v>
      </c>
      <c r="D10" s="13" t="s">
        <v>23</v>
      </c>
      <c r="E10" s="11">
        <f>0.8*E8</f>
        <v>22.400000000000002</v>
      </c>
      <c r="F10" s="47" t="s">
        <v>29</v>
      </c>
      <c r="G10" s="10" t="s">
        <v>33</v>
      </c>
      <c r="H10" s="11">
        <v>33</v>
      </c>
      <c r="I10" s="11">
        <v>40</v>
      </c>
      <c r="J10" s="12">
        <v>20</v>
      </c>
      <c r="K10" s="49" t="s">
        <v>21</v>
      </c>
      <c r="L10" s="16">
        <v>12</v>
      </c>
      <c r="M10" s="12" t="s">
        <v>37</v>
      </c>
      <c r="S10" s="1" t="s">
        <v>72</v>
      </c>
    </row>
    <row r="11" spans="1:19" ht="15" thickBot="1" x14ac:dyDescent="0.35">
      <c r="A11" s="17" t="s">
        <v>22</v>
      </c>
      <c r="B11" s="18">
        <v>0.85</v>
      </c>
      <c r="C11" s="19"/>
      <c r="D11" s="20"/>
      <c r="E11" s="21"/>
      <c r="F11" s="48"/>
      <c r="G11" s="10" t="s">
        <v>34</v>
      </c>
      <c r="H11" s="11">
        <v>43.5</v>
      </c>
      <c r="I11" s="11">
        <v>40</v>
      </c>
      <c r="J11" s="12">
        <v>25</v>
      </c>
      <c r="K11" s="100" t="s">
        <v>25</v>
      </c>
      <c r="L11" s="93"/>
      <c r="M11" s="94"/>
    </row>
    <row r="12" spans="1:19" ht="15" thickBot="1" x14ac:dyDescent="0.35">
      <c r="A12" s="23" t="s">
        <v>38</v>
      </c>
      <c r="B12" s="21">
        <v>1</v>
      </c>
      <c r="C12" s="22"/>
      <c r="D12" s="9"/>
      <c r="E12" s="9"/>
      <c r="F12" s="9"/>
      <c r="G12" s="10" t="s">
        <v>72</v>
      </c>
      <c r="H12" s="11">
        <v>54</v>
      </c>
      <c r="I12" s="11">
        <v>30</v>
      </c>
      <c r="J12" s="12">
        <v>25</v>
      </c>
      <c r="K12" s="13" t="s">
        <v>19</v>
      </c>
      <c r="L12" s="11">
        <v>5</v>
      </c>
      <c r="M12" s="12"/>
      <c r="S12" s="1" t="s">
        <v>34</v>
      </c>
    </row>
    <row r="13" spans="1:19" x14ac:dyDescent="0.3">
      <c r="A13" s="9"/>
      <c r="B13" s="9"/>
      <c r="C13" s="9"/>
      <c r="D13" s="9"/>
      <c r="E13" s="9"/>
      <c r="F13" s="9"/>
      <c r="G13" s="10" t="s">
        <v>73</v>
      </c>
      <c r="H13" s="11">
        <v>64.5</v>
      </c>
      <c r="I13" s="11">
        <v>30</v>
      </c>
      <c r="J13" s="12">
        <v>30</v>
      </c>
      <c r="K13" s="13" t="s">
        <v>20</v>
      </c>
      <c r="L13" s="14">
        <f>0.785*(L12/8)^2</f>
        <v>0.306640625</v>
      </c>
      <c r="M13" s="12" t="s">
        <v>36</v>
      </c>
    </row>
    <row r="14" spans="1:19" ht="15" thickBot="1" x14ac:dyDescent="0.35">
      <c r="A14" s="9"/>
      <c r="B14" s="9"/>
      <c r="C14" s="9"/>
      <c r="D14" s="9"/>
      <c r="E14" s="9"/>
      <c r="F14" s="9"/>
      <c r="G14" s="10" t="s">
        <v>74</v>
      </c>
      <c r="H14" s="11">
        <v>75</v>
      </c>
      <c r="I14" s="11">
        <v>30</v>
      </c>
      <c r="J14" s="12">
        <v>30</v>
      </c>
      <c r="K14" s="50" t="s">
        <v>24</v>
      </c>
      <c r="L14" s="21">
        <v>16</v>
      </c>
      <c r="M14" s="22" t="s">
        <v>37</v>
      </c>
      <c r="S14" s="1" t="s">
        <v>33</v>
      </c>
    </row>
    <row r="15" spans="1:19" x14ac:dyDescent="0.3">
      <c r="A15" s="9"/>
      <c r="B15" s="9"/>
      <c r="C15" s="9"/>
      <c r="D15" s="9"/>
      <c r="E15" s="9"/>
      <c r="F15" s="9"/>
      <c r="G15" s="10" t="s">
        <v>76</v>
      </c>
      <c r="H15" s="11">
        <v>85.5</v>
      </c>
      <c r="I15" s="11">
        <v>35</v>
      </c>
      <c r="J15" s="12">
        <v>35</v>
      </c>
      <c r="K15" s="43"/>
      <c r="L15" s="44"/>
      <c r="M15" s="44"/>
    </row>
    <row r="16" spans="1:19" ht="15" thickBot="1" x14ac:dyDescent="0.35">
      <c r="A16" s="9"/>
      <c r="B16" s="9"/>
      <c r="C16" s="9"/>
      <c r="D16" s="9"/>
      <c r="E16" s="9"/>
      <c r="F16" s="9"/>
      <c r="G16" s="24" t="s">
        <v>35</v>
      </c>
      <c r="H16" s="21">
        <v>96</v>
      </c>
      <c r="I16" s="21">
        <v>35</v>
      </c>
      <c r="J16" s="22">
        <v>35</v>
      </c>
      <c r="K16" s="43"/>
      <c r="L16" s="44"/>
      <c r="M16" s="44"/>
    </row>
    <row r="17" spans="1:19" x14ac:dyDescent="0.3">
      <c r="A17" s="9"/>
      <c r="B17" s="9"/>
      <c r="C17" s="9"/>
      <c r="D17" s="9"/>
      <c r="E17" s="9"/>
      <c r="F17" s="9"/>
      <c r="G17" s="9"/>
      <c r="H17" s="9"/>
      <c r="I17" s="9"/>
      <c r="J17" s="9"/>
      <c r="K17" s="43"/>
      <c r="L17" s="44"/>
      <c r="M17" s="44"/>
      <c r="S17" s="1" t="s">
        <v>32</v>
      </c>
    </row>
    <row r="18" spans="1:19" x14ac:dyDescent="0.3">
      <c r="A18" s="9"/>
      <c r="B18" s="9"/>
      <c r="C18" s="9"/>
      <c r="D18" s="9"/>
      <c r="E18" s="9"/>
      <c r="F18" s="9"/>
      <c r="G18" s="9"/>
      <c r="H18" s="9"/>
      <c r="I18" s="9"/>
      <c r="J18" s="9"/>
      <c r="K18" s="43"/>
      <c r="L18" s="44"/>
      <c r="M18" s="44"/>
      <c r="S18" s="41"/>
    </row>
    <row r="19" spans="1:19" x14ac:dyDescent="0.3">
      <c r="A19" s="9"/>
      <c r="B19" s="9"/>
      <c r="C19" s="9"/>
      <c r="D19" s="9"/>
      <c r="E19" s="9"/>
      <c r="F19" s="9"/>
      <c r="G19" s="9"/>
      <c r="H19" s="9"/>
      <c r="I19" s="9"/>
      <c r="J19" s="9"/>
      <c r="K19" s="43"/>
      <c r="L19" s="44"/>
      <c r="M19" s="44"/>
      <c r="S19" s="45" t="s">
        <v>31</v>
      </c>
    </row>
    <row r="21" spans="1:19" x14ac:dyDescent="0.3">
      <c r="F21" s="80" t="s">
        <v>40</v>
      </c>
      <c r="G21" s="81"/>
      <c r="H21" s="82"/>
      <c r="S21" s="45" t="s">
        <v>67</v>
      </c>
    </row>
    <row r="22" spans="1:19" x14ac:dyDescent="0.3">
      <c r="F22" s="25" t="s">
        <v>44</v>
      </c>
      <c r="G22" s="11">
        <f>H7*J7+H8*J8+H9*J9+H10*J10+H11*J11+H12*J12+H13*J13+H14*J14+H15*J15+H16*J16</f>
        <v>14092.5</v>
      </c>
      <c r="H22" s="11" t="s">
        <v>42</v>
      </c>
    </row>
    <row r="23" spans="1:19" x14ac:dyDescent="0.3">
      <c r="F23" s="25" t="s">
        <v>39</v>
      </c>
      <c r="G23" s="11">
        <f>SUM(J7:J16)</f>
        <v>225</v>
      </c>
      <c r="H23" s="11" t="s">
        <v>43</v>
      </c>
    </row>
    <row r="24" spans="1:19" x14ac:dyDescent="0.3">
      <c r="F24" s="25" t="s">
        <v>41</v>
      </c>
      <c r="G24" s="11">
        <f>0.9*SUM(I7:I16)</f>
        <v>306</v>
      </c>
      <c r="H24" s="11" t="s">
        <v>43</v>
      </c>
    </row>
    <row r="26" spans="1:19" ht="15" thickBot="1" x14ac:dyDescent="0.35">
      <c r="S26" s="40"/>
    </row>
    <row r="27" spans="1:19" x14ac:dyDescent="0.3">
      <c r="A27" s="60" t="s">
        <v>56</v>
      </c>
      <c r="B27" s="61"/>
      <c r="C27" s="61"/>
      <c r="D27" s="61"/>
      <c r="E27" s="83"/>
      <c r="F27" s="60" t="s">
        <v>57</v>
      </c>
      <c r="G27" s="61"/>
      <c r="H27" s="61"/>
      <c r="I27" s="61"/>
      <c r="J27" s="83"/>
      <c r="K27" s="60" t="s">
        <v>58</v>
      </c>
      <c r="L27" s="61"/>
      <c r="M27" s="61"/>
      <c r="N27" s="61"/>
      <c r="O27" s="61"/>
      <c r="P27" s="62"/>
      <c r="S27" s="40"/>
    </row>
    <row r="28" spans="1:19" x14ac:dyDescent="0.3">
      <c r="A28" s="27" t="s">
        <v>48</v>
      </c>
      <c r="B28" s="28" t="s">
        <v>49</v>
      </c>
      <c r="C28" s="28" t="s">
        <v>2</v>
      </c>
      <c r="D28" s="84" t="s">
        <v>50</v>
      </c>
      <c r="E28" s="85"/>
      <c r="F28" s="27" t="s">
        <v>48</v>
      </c>
      <c r="G28" s="28" t="s">
        <v>49</v>
      </c>
      <c r="H28" s="28" t="s">
        <v>2</v>
      </c>
      <c r="I28" s="84" t="s">
        <v>50</v>
      </c>
      <c r="J28" s="85"/>
      <c r="K28" s="70" t="s">
        <v>59</v>
      </c>
      <c r="L28" s="71"/>
      <c r="M28" s="71"/>
      <c r="N28" s="71"/>
      <c r="O28" s="71"/>
      <c r="P28" s="72"/>
      <c r="S28" s="40"/>
    </row>
    <row r="29" spans="1:19" ht="15.6" x14ac:dyDescent="0.3">
      <c r="A29" s="2" t="s">
        <v>45</v>
      </c>
      <c r="B29" s="3">
        <f>ROUND(vc($B$9,$G$22,$G$23,$G$24,$E$7,$E$10,$E$8,$B$12)/1000,0)</f>
        <v>423</v>
      </c>
      <c r="C29" s="3" t="s">
        <v>47</v>
      </c>
      <c r="D29" s="73" t="str">
        <f>IF(B30&gt;G23, "OKAY - SAFE IN SHEAR", "NOT OKAY- FAILS IN SHEAR")</f>
        <v>OKAY - SAFE IN SHEAR</v>
      </c>
      <c r="E29" s="74"/>
      <c r="F29" s="2" t="s">
        <v>52</v>
      </c>
      <c r="G29" s="3">
        <f>ROUND(mn($B$9,$B$10,$L$9,$L$10,$E$9,$E$8,$E$7,$E$10,$G$24,$B$11),0)</f>
        <v>17111</v>
      </c>
      <c r="H29" s="3" t="s">
        <v>42</v>
      </c>
      <c r="I29" s="77"/>
      <c r="J29" s="78"/>
      <c r="K29" s="30" t="s">
        <v>61</v>
      </c>
      <c r="L29" s="38">
        <f>(2*L9)/(E7*L10)</f>
        <v>3.650483630952381E-3</v>
      </c>
      <c r="M29" s="73" t="str">
        <f>IF(L29&gt;=L30,"Vertical steel provided is greater than the minimum required, HENCE OKAY","Vertical steel provided is than than the minimum required, HENCE NOT OKAY")</f>
        <v>Vertical steel provided is greater than the minimum required, HENCE OKAY</v>
      </c>
      <c r="N29" s="73"/>
      <c r="O29" s="73"/>
      <c r="P29" s="79"/>
      <c r="S29" s="40"/>
    </row>
    <row r="30" spans="1:19" ht="16.2" thickBot="1" x14ac:dyDescent="0.35">
      <c r="A30" s="32" t="s">
        <v>46</v>
      </c>
      <c r="B30" s="33">
        <f>0.75*B29</f>
        <v>317.25</v>
      </c>
      <c r="C30" s="33" t="s">
        <v>47</v>
      </c>
      <c r="D30" s="75"/>
      <c r="E30" s="76"/>
      <c r="F30" s="2" t="s">
        <v>54</v>
      </c>
      <c r="G30" s="3">
        <f>ROUND(neutralaxis($B$9,$B$10,$L$9,$L$10,$E$9,$E$8,$E$7,$E$10,$G$24,$B$11),2)</f>
        <v>28.68</v>
      </c>
      <c r="H30" s="3" t="s">
        <v>37</v>
      </c>
      <c r="I30" s="73" t="str">
        <f>IF(G30&lt;G31,"TENSION CONTROLLED, phi=0.9","COMPRESSION CONTROLLED, phi=0.65")</f>
        <v>TENSION CONTROLLED, phi=0.9</v>
      </c>
      <c r="J30" s="74"/>
      <c r="K30" s="30" t="s">
        <v>62</v>
      </c>
      <c r="L30" s="31">
        <f>rholmin(G23,B30,E8,E9,L31)</f>
        <v>2.5000000000000001E-3</v>
      </c>
      <c r="M30" s="73"/>
      <c r="N30" s="73"/>
      <c r="O30" s="73"/>
      <c r="P30" s="79"/>
      <c r="S30" s="40"/>
    </row>
    <row r="31" spans="1:19" ht="15.6" x14ac:dyDescent="0.3">
      <c r="A31" s="34"/>
      <c r="B31" s="34"/>
      <c r="C31" s="34"/>
      <c r="D31" s="34"/>
      <c r="E31" s="34"/>
      <c r="F31" s="2" t="s">
        <v>55</v>
      </c>
      <c r="G31" s="3">
        <f>0.375*E10*12</f>
        <v>100.80000000000001</v>
      </c>
      <c r="H31" s="3" t="s">
        <v>37</v>
      </c>
      <c r="I31" s="73"/>
      <c r="J31" s="74"/>
      <c r="K31" s="30" t="s">
        <v>63</v>
      </c>
      <c r="L31" s="38">
        <f>(2*L13)/(E7*L14)</f>
        <v>2.7378627232142855E-3</v>
      </c>
      <c r="M31" s="73" t="str">
        <f>IF(L31&gt;=L32,"Horizontal steel provided is greater than the minimum required, HENCE OKAY","Horizontal steel provided is than than the minimum required, HENCE NOT OKAY")</f>
        <v>Horizontal steel provided is greater than the minimum required, HENCE OKAY</v>
      </c>
      <c r="N31" s="73"/>
      <c r="O31" s="73"/>
      <c r="P31" s="79"/>
      <c r="Q31" s="26"/>
      <c r="R31" s="26"/>
      <c r="S31" s="40"/>
    </row>
    <row r="32" spans="1:19" ht="15.6" x14ac:dyDescent="0.3">
      <c r="A32" s="34"/>
      <c r="B32" s="34"/>
      <c r="C32" s="34"/>
      <c r="D32" s="34"/>
      <c r="E32" s="34"/>
      <c r="F32" s="30" t="s">
        <v>53</v>
      </c>
      <c r="G32" s="3">
        <f>IF(G30&lt;G31,0.9,0.65)</f>
        <v>0.9</v>
      </c>
      <c r="H32" s="3"/>
      <c r="I32" s="73" t="str">
        <f>IF(G33&gt;G22,"OKAY-SAFE IN FLEXURE","NOT OKAY- FAILS IN FLEXURE")</f>
        <v>OKAY-SAFE IN FLEXURE</v>
      </c>
      <c r="J32" s="74"/>
      <c r="K32" s="30" t="s">
        <v>64</v>
      </c>
      <c r="L32" s="3">
        <f>rhotmin(G23,B30)</f>
        <v>2.5000000000000001E-3</v>
      </c>
      <c r="M32" s="73"/>
      <c r="N32" s="73"/>
      <c r="O32" s="73"/>
      <c r="P32" s="79"/>
      <c r="Q32" s="26"/>
      <c r="R32" s="26"/>
    </row>
    <row r="33" spans="1:16" ht="15" thickBot="1" x14ac:dyDescent="0.35">
      <c r="A33" s="34"/>
      <c r="B33" s="34"/>
      <c r="C33" s="34"/>
      <c r="D33" s="34"/>
      <c r="E33" s="34"/>
      <c r="F33" s="32" t="s">
        <v>51</v>
      </c>
      <c r="G33" s="33">
        <f>G32*G29</f>
        <v>15399.9</v>
      </c>
      <c r="H33" s="33" t="s">
        <v>42</v>
      </c>
      <c r="I33" s="75"/>
      <c r="J33" s="76"/>
      <c r="K33" s="70" t="s">
        <v>60</v>
      </c>
      <c r="L33" s="71"/>
      <c r="M33" s="71"/>
      <c r="N33" s="71"/>
      <c r="O33" s="71"/>
      <c r="P33" s="72"/>
    </row>
    <row r="34" spans="1:16" x14ac:dyDescent="0.3">
      <c r="A34" s="34"/>
      <c r="B34" s="34"/>
      <c r="C34" s="34"/>
      <c r="D34" s="34"/>
      <c r="E34" s="34"/>
      <c r="F34" s="36"/>
      <c r="G34" s="36"/>
      <c r="H34" s="36"/>
      <c r="I34" s="55"/>
      <c r="J34" s="55"/>
      <c r="K34" s="63" t="s">
        <v>77</v>
      </c>
      <c r="L34" s="64"/>
      <c r="M34" s="67">
        <f>minspacing($E$8,$E$7,$G$23,$B$30)</f>
        <v>18</v>
      </c>
      <c r="N34" s="51" t="str">
        <f>IF(M34&gt;=L10,"Okay","Not Okay")</f>
        <v>Okay</v>
      </c>
      <c r="O34" s="52"/>
      <c r="P34" s="53"/>
    </row>
    <row r="35" spans="1:16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63"/>
      <c r="L35" s="64"/>
      <c r="M35" s="68"/>
      <c r="N35" s="54"/>
      <c r="O35" s="55"/>
      <c r="P35" s="56"/>
    </row>
    <row r="36" spans="1:16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63"/>
      <c r="L36" s="64"/>
      <c r="M36" s="69"/>
      <c r="N36" s="57"/>
      <c r="O36" s="58"/>
      <c r="P36" s="59"/>
    </row>
    <row r="37" spans="1:16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63" t="s">
        <v>78</v>
      </c>
      <c r="L37" s="64"/>
      <c r="M37" s="67">
        <f>minspacing($E$8,$E$7,$G$23,$B$30)</f>
        <v>18</v>
      </c>
      <c r="N37" s="51" t="str">
        <f>IF(M37&gt;=L14,"Okay","Not Okay")</f>
        <v>Okay</v>
      </c>
      <c r="O37" s="52"/>
      <c r="P37" s="53"/>
    </row>
    <row r="38" spans="1:16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63"/>
      <c r="L38" s="64"/>
      <c r="M38" s="68"/>
      <c r="N38" s="54"/>
      <c r="O38" s="55"/>
      <c r="P38" s="56"/>
    </row>
    <row r="39" spans="1:16" ht="15" thickBot="1" x14ac:dyDescent="0.3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65"/>
      <c r="L39" s="66"/>
      <c r="M39" s="69"/>
      <c r="N39" s="57"/>
      <c r="O39" s="58"/>
      <c r="P39" s="59"/>
    </row>
  </sheetData>
  <mergeCells count="28">
    <mergeCell ref="I34:J34"/>
    <mergeCell ref="K34:L36"/>
    <mergeCell ref="M34:M36"/>
    <mergeCell ref="N34:P36"/>
    <mergeCell ref="K37:L39"/>
    <mergeCell ref="M37:M39"/>
    <mergeCell ref="N37:P39"/>
    <mergeCell ref="D29:E30"/>
    <mergeCell ref="I29:J29"/>
    <mergeCell ref="M29:P30"/>
    <mergeCell ref="I30:J31"/>
    <mergeCell ref="M31:P32"/>
    <mergeCell ref="I32:J33"/>
    <mergeCell ref="K33:P33"/>
    <mergeCell ref="D28:E28"/>
    <mergeCell ref="I28:J28"/>
    <mergeCell ref="K28:P28"/>
    <mergeCell ref="A4:M4"/>
    <mergeCell ref="A5:C5"/>
    <mergeCell ref="D5:F5"/>
    <mergeCell ref="G5:J5"/>
    <mergeCell ref="K5:M5"/>
    <mergeCell ref="K7:M7"/>
    <mergeCell ref="K11:M11"/>
    <mergeCell ref="F21:H21"/>
    <mergeCell ref="A27:E27"/>
    <mergeCell ref="F27:J27"/>
    <mergeCell ref="K27:P2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problem1</vt:lpstr>
      <vt:lpstr>problem2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Rohan Desai</cp:lastModifiedBy>
  <dcterms:created xsi:type="dcterms:W3CDTF">2016-12-08T04:27:12Z</dcterms:created>
  <dcterms:modified xsi:type="dcterms:W3CDTF">2018-04-11T23:05:40Z</dcterms:modified>
</cp:coreProperties>
</file>