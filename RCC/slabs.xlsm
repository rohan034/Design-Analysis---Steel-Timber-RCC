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C\Advance RCC\"/>
    </mc:Choice>
  </mc:AlternateContent>
  <bookViews>
    <workbookView xWindow="120" yWindow="96" windowWidth="19092" windowHeight="8952" activeTab="1"/>
  </bookViews>
  <sheets>
    <sheet name="problem1" sheetId="1" r:id="rId1"/>
    <sheet name="problem2" sheetId="2" r:id="rId2"/>
    <sheet name="Sheet3" sheetId="3" r:id="rId3"/>
  </sheets>
  <functionGroups builtInGroupCount="18"/>
  <calcPr calcId="171027"/>
</workbook>
</file>

<file path=xl/calcChain.xml><?xml version="1.0" encoding="utf-8"?>
<calcChain xmlns="http://schemas.openxmlformats.org/spreadsheetml/2006/main">
  <c r="F125" i="1" l="1"/>
  <c r="E79" i="1"/>
  <c r="E39" i="2"/>
  <c r="D39" i="2"/>
  <c r="E38" i="2"/>
  <c r="D38" i="2"/>
  <c r="E37" i="2"/>
  <c r="D37" i="2"/>
  <c r="D36" i="2"/>
  <c r="E35" i="2"/>
  <c r="D35" i="2"/>
  <c r="E34" i="2"/>
  <c r="D34" i="2"/>
  <c r="E33" i="2"/>
  <c r="D33" i="2"/>
  <c r="E32" i="2"/>
  <c r="D32" i="2"/>
  <c r="I66" i="1"/>
  <c r="D35" i="1"/>
  <c r="D36" i="1"/>
  <c r="D37" i="1"/>
  <c r="D38" i="1"/>
  <c r="D39" i="1"/>
  <c r="D40" i="1"/>
  <c r="D41" i="1"/>
  <c r="D34" i="1"/>
  <c r="C35" i="1"/>
  <c r="C36" i="1"/>
  <c r="C37" i="1"/>
  <c r="C38" i="1"/>
  <c r="C39" i="1"/>
  <c r="C40" i="1"/>
  <c r="C41" i="1"/>
  <c r="C34" i="1"/>
  <c r="E81" i="2"/>
  <c r="E80" i="2"/>
  <c r="E84" i="2"/>
  <c r="E83" i="2"/>
  <c r="E78" i="2"/>
  <c r="E77" i="2"/>
  <c r="E74" i="2"/>
  <c r="E75" i="2"/>
  <c r="F135" i="2"/>
  <c r="F134" i="2"/>
  <c r="F132" i="2"/>
  <c r="F131" i="2"/>
  <c r="F129" i="2"/>
  <c r="F128" i="2"/>
  <c r="F126" i="2"/>
  <c r="F125" i="2"/>
  <c r="F124" i="2"/>
  <c r="F122" i="2"/>
  <c r="L121" i="2"/>
  <c r="F121" i="2"/>
  <c r="F120" i="2"/>
  <c r="I113" i="2"/>
  <c r="J39" i="2"/>
  <c r="K39" i="2"/>
  <c r="I38" i="1"/>
  <c r="I35" i="1"/>
  <c r="J35" i="2"/>
  <c r="K37" i="2"/>
  <c r="J37" i="2"/>
  <c r="J38" i="2"/>
  <c r="K38" i="2"/>
  <c r="K35" i="2"/>
  <c r="K33" i="2"/>
  <c r="K36" i="2"/>
  <c r="K34" i="2"/>
  <c r="J36" i="1"/>
  <c r="E60" i="1"/>
  <c r="K32" i="2"/>
  <c r="J32" i="2"/>
  <c r="J37" i="1"/>
  <c r="I39" i="1"/>
  <c r="J33" i="2"/>
  <c r="I41" i="1"/>
  <c r="J34" i="1"/>
  <c r="J40" i="1"/>
  <c r="J38" i="1"/>
  <c r="J35" i="1"/>
  <c r="I40" i="1"/>
  <c r="I36" i="1"/>
  <c r="I37" i="1"/>
  <c r="J41" i="1"/>
  <c r="J39" i="1"/>
  <c r="I34" i="1"/>
  <c r="J36" i="2"/>
  <c r="J34" i="2"/>
  <c r="E46" i="2" l="1"/>
  <c r="E51" i="1"/>
  <c r="J113" i="2" l="1"/>
  <c r="L114" i="2" s="1"/>
  <c r="J66" i="1"/>
  <c r="I110" i="2"/>
  <c r="L113" i="2" l="1"/>
  <c r="J110" i="2"/>
  <c r="L112" i="2" l="1"/>
  <c r="L111" i="2"/>
  <c r="L110" i="2"/>
  <c r="I108" i="2"/>
  <c r="J108" i="2" s="1"/>
  <c r="L109" i="2" s="1"/>
  <c r="L108" i="2" l="1"/>
  <c r="I105" i="2"/>
  <c r="J105" i="2" l="1"/>
  <c r="F84" i="2"/>
  <c r="L107" i="2" l="1"/>
  <c r="L106" i="2"/>
  <c r="L105" i="2"/>
  <c r="F83" i="2"/>
  <c r="F81" i="2"/>
  <c r="F80" i="2"/>
  <c r="F78" i="2"/>
  <c r="F77" i="2"/>
  <c r="L75" i="2"/>
  <c r="F75" i="2"/>
  <c r="F74" i="2"/>
  <c r="I67" i="2"/>
  <c r="J67" i="2" s="1"/>
  <c r="L68" i="2" l="1"/>
  <c r="L67" i="2"/>
  <c r="I65" i="2"/>
  <c r="J65" i="2" s="1"/>
  <c r="L66" i="2" l="1"/>
  <c r="L65" i="2"/>
  <c r="I63" i="2"/>
  <c r="J63" i="2" s="1"/>
  <c r="L64" i="2" l="1"/>
  <c r="L63" i="2"/>
  <c r="I61" i="2"/>
  <c r="J61" i="2" s="1"/>
  <c r="E55" i="2"/>
  <c r="B21" i="1"/>
  <c r="B18" i="2"/>
  <c r="M113" i="2"/>
  <c r="B19" i="2"/>
  <c r="M68" i="2"/>
  <c r="M64" i="2"/>
  <c r="M114" i="2"/>
  <c r="M65" i="2"/>
  <c r="M107" i="2"/>
  <c r="M112" i="2"/>
  <c r="M110" i="2"/>
  <c r="M105" i="2"/>
  <c r="M63" i="2"/>
  <c r="M106" i="2"/>
  <c r="M61" i="2"/>
  <c r="M66" i="2"/>
  <c r="E53" i="2"/>
  <c r="M62" i="2"/>
  <c r="M67" i="2"/>
  <c r="M111" i="2"/>
  <c r="Q113" i="2" l="1"/>
  <c r="D131" i="2" s="1"/>
  <c r="G131" i="2" s="1"/>
  <c r="N113" i="2"/>
  <c r="Q114" i="2"/>
  <c r="D132" i="2" s="1"/>
  <c r="G132" i="2" s="1"/>
  <c r="N114" i="2"/>
  <c r="Q110" i="2"/>
  <c r="N110" i="2"/>
  <c r="N111" i="2"/>
  <c r="Q111" i="2"/>
  <c r="Q105" i="2"/>
  <c r="N105" i="2"/>
  <c r="N106" i="2"/>
  <c r="Q106" i="2"/>
  <c r="Q67" i="2"/>
  <c r="N67" i="2"/>
  <c r="N68" i="2"/>
  <c r="Q68" i="2"/>
  <c r="N65" i="2"/>
  <c r="Q65" i="2"/>
  <c r="Q66" i="2"/>
  <c r="N66" i="2"/>
  <c r="N63" i="2"/>
  <c r="Q63" i="2"/>
  <c r="Q64" i="2"/>
  <c r="N64" i="2"/>
  <c r="N107" i="2"/>
  <c r="Q107" i="2"/>
  <c r="Q112" i="2"/>
  <c r="N112" i="2"/>
  <c r="L62" i="2"/>
  <c r="N62" i="2" s="1"/>
  <c r="L61" i="2"/>
  <c r="Q61" i="2" s="1"/>
  <c r="D83" i="2" s="1"/>
  <c r="G83" i="2" s="1"/>
  <c r="F139" i="1"/>
  <c r="F140" i="1"/>
  <c r="F131" i="1"/>
  <c r="F127" i="1"/>
  <c r="E130" i="1"/>
  <c r="E131" i="1"/>
  <c r="E129" i="1"/>
  <c r="I113" i="1"/>
  <c r="J113" i="1" s="1"/>
  <c r="H131" i="2"/>
  <c r="H132" i="2"/>
  <c r="M108" i="2"/>
  <c r="H83" i="2"/>
  <c r="M109" i="2"/>
  <c r="D125" i="2" l="1"/>
  <c r="G125" i="2" s="1"/>
  <c r="D124" i="2"/>
  <c r="G124" i="2" s="1"/>
  <c r="N108" i="2"/>
  <c r="Q108" i="2"/>
  <c r="N109" i="2"/>
  <c r="P109" i="2" s="1"/>
  <c r="Q109" i="2"/>
  <c r="D135" i="2" s="1"/>
  <c r="G135" i="2" s="1"/>
  <c r="D78" i="2"/>
  <c r="G78" i="2" s="1"/>
  <c r="N61" i="2"/>
  <c r="O61" i="2" s="1"/>
  <c r="I83" i="2"/>
  <c r="J83" i="2" s="1"/>
  <c r="I132" i="2"/>
  <c r="J132" i="2" s="1"/>
  <c r="I131" i="2"/>
  <c r="J131" i="2" s="1"/>
  <c r="O62" i="2"/>
  <c r="P62" i="2"/>
  <c r="P108" i="2"/>
  <c r="D128" i="2" s="1"/>
  <c r="G128" i="2" s="1"/>
  <c r="O108" i="2"/>
  <c r="P107" i="2"/>
  <c r="O107" i="2"/>
  <c r="P63" i="2"/>
  <c r="O63" i="2"/>
  <c r="P65" i="2"/>
  <c r="O65" i="2"/>
  <c r="P68" i="2"/>
  <c r="O68" i="2"/>
  <c r="P106" i="2"/>
  <c r="O106" i="2"/>
  <c r="P111" i="2"/>
  <c r="O111" i="2"/>
  <c r="O112" i="2"/>
  <c r="P112" i="2"/>
  <c r="O64" i="2"/>
  <c r="P64" i="2"/>
  <c r="O66" i="2"/>
  <c r="P66" i="2"/>
  <c r="O67" i="2"/>
  <c r="P67" i="2"/>
  <c r="O105" i="2"/>
  <c r="P105" i="2"/>
  <c r="O110" i="2"/>
  <c r="P110" i="2"/>
  <c r="O114" i="2"/>
  <c r="P114" i="2"/>
  <c r="O113" i="2"/>
  <c r="P113" i="2"/>
  <c r="Q62" i="2"/>
  <c r="D84" i="2" s="1"/>
  <c r="G84" i="2" s="1"/>
  <c r="D134" i="2"/>
  <c r="G134" i="2" s="1"/>
  <c r="D126" i="2"/>
  <c r="G126" i="2" s="1"/>
  <c r="D77" i="2"/>
  <c r="G77" i="2" s="1"/>
  <c r="E80" i="1"/>
  <c r="E82" i="1"/>
  <c r="E83" i="1"/>
  <c r="E85" i="1"/>
  <c r="E86" i="1"/>
  <c r="E88" i="1"/>
  <c r="E89" i="1"/>
  <c r="F137" i="1"/>
  <c r="F136" i="1"/>
  <c r="F134" i="1"/>
  <c r="F133" i="1"/>
  <c r="F130" i="1"/>
  <c r="F129" i="1"/>
  <c r="L126" i="1"/>
  <c r="F126" i="1"/>
  <c r="I118" i="1"/>
  <c r="J118" i="1" s="1"/>
  <c r="H124" i="2"/>
  <c r="H125" i="2"/>
  <c r="H135" i="2"/>
  <c r="H128" i="2"/>
  <c r="H84" i="2"/>
  <c r="H78" i="2"/>
  <c r="H126" i="2"/>
  <c r="H134" i="2"/>
  <c r="H77" i="2"/>
  <c r="I125" i="2" l="1"/>
  <c r="J125" i="2" s="1"/>
  <c r="I124" i="2"/>
  <c r="J124" i="2" s="1"/>
  <c r="O109" i="2"/>
  <c r="P61" i="2"/>
  <c r="I78" i="2"/>
  <c r="J78" i="2" s="1"/>
  <c r="D74" i="2"/>
  <c r="G74" i="2" s="1"/>
  <c r="D122" i="2"/>
  <c r="G122" i="2" s="1"/>
  <c r="I135" i="2"/>
  <c r="J135" i="2" s="1"/>
  <c r="I126" i="2"/>
  <c r="J126" i="2" s="1"/>
  <c r="I84" i="2"/>
  <c r="J84" i="2" s="1"/>
  <c r="I128" i="2"/>
  <c r="J128" i="2" s="1"/>
  <c r="I77" i="2"/>
  <c r="J77" i="2" s="1"/>
  <c r="I134" i="2"/>
  <c r="J134" i="2" s="1"/>
  <c r="D129" i="2"/>
  <c r="G129" i="2" s="1"/>
  <c r="D121" i="2"/>
  <c r="G121" i="2" s="1"/>
  <c r="D80" i="2"/>
  <c r="G80" i="2" s="1"/>
  <c r="D120" i="2"/>
  <c r="G120" i="2" s="1"/>
  <c r="D75" i="2"/>
  <c r="G75" i="2" s="1"/>
  <c r="D81" i="2"/>
  <c r="G81" i="2" s="1"/>
  <c r="I115" i="1"/>
  <c r="H81" i="2"/>
  <c r="H75" i="2"/>
  <c r="H122" i="2"/>
  <c r="H129" i="2"/>
  <c r="H121" i="2"/>
  <c r="H74" i="2"/>
  <c r="H80" i="2"/>
  <c r="H120" i="2"/>
  <c r="I74" i="2" l="1"/>
  <c r="J74" i="2" s="1"/>
  <c r="I122" i="2"/>
  <c r="J122" i="2" s="1"/>
  <c r="I81" i="2"/>
  <c r="J81" i="2" s="1"/>
  <c r="I120" i="2"/>
  <c r="J120" i="2" s="1"/>
  <c r="I121" i="2"/>
  <c r="J121" i="2" s="1"/>
  <c r="I75" i="2"/>
  <c r="J75" i="2" s="1"/>
  <c r="I80" i="2"/>
  <c r="J80" i="2" s="1"/>
  <c r="I129" i="2"/>
  <c r="J129" i="2" s="1"/>
  <c r="J115" i="1"/>
  <c r="I110" i="1"/>
  <c r="J110" i="1" s="1"/>
  <c r="L80" i="1"/>
  <c r="F86" i="1"/>
  <c r="F88" i="1"/>
  <c r="F89" i="1"/>
  <c r="F85" i="1"/>
  <c r="F79" i="1"/>
  <c r="F80" i="1"/>
  <c r="F82" i="1"/>
  <c r="F83" i="1"/>
  <c r="I72" i="1"/>
  <c r="J72" i="1" s="1"/>
  <c r="L73" i="1" s="1"/>
  <c r="I68" i="1"/>
  <c r="J68" i="1" s="1"/>
  <c r="L68" i="1" s="1"/>
  <c r="I70" i="1"/>
  <c r="J70" i="1" s="1"/>
  <c r="L71" i="1" s="1"/>
  <c r="L66" i="1"/>
  <c r="E58" i="1"/>
  <c r="M117" i="1"/>
  <c r="M66" i="1"/>
  <c r="M70" i="1"/>
  <c r="M119" i="1"/>
  <c r="M69" i="1"/>
  <c r="M67" i="1"/>
  <c r="M111" i="1"/>
  <c r="M118" i="1"/>
  <c r="M73" i="1"/>
  <c r="M116" i="1"/>
  <c r="M110" i="1"/>
  <c r="B22" i="1"/>
  <c r="M112" i="1"/>
  <c r="M71" i="1"/>
  <c r="M68" i="1"/>
  <c r="M115" i="1"/>
  <c r="M72" i="1"/>
  <c r="L115" i="1" l="1"/>
  <c r="L116" i="1"/>
  <c r="L117" i="1"/>
  <c r="N117" i="1" s="1"/>
  <c r="L67" i="1"/>
  <c r="Q67" i="1" s="1"/>
  <c r="L69" i="1"/>
  <c r="N69" i="1" s="1"/>
  <c r="Q66" i="1"/>
  <c r="N66" i="1"/>
  <c r="Q73" i="1"/>
  <c r="N73" i="1"/>
  <c r="Q71" i="1"/>
  <c r="N71" i="1"/>
  <c r="Q68" i="1"/>
  <c r="N68" i="1"/>
  <c r="L72" i="1"/>
  <c r="N72" i="1" s="1"/>
  <c r="L70" i="1"/>
  <c r="Q70" i="1" s="1"/>
  <c r="M113" i="1"/>
  <c r="M114" i="1"/>
  <c r="N67" i="1" l="1"/>
  <c r="P67" i="1" s="1"/>
  <c r="Q117" i="1"/>
  <c r="L111" i="1"/>
  <c r="N111" i="1" s="1"/>
  <c r="L112" i="1"/>
  <c r="L110" i="1"/>
  <c r="N110" i="1" s="1"/>
  <c r="O117" i="1"/>
  <c r="P117" i="1"/>
  <c r="Q69" i="1"/>
  <c r="D83" i="1" s="1"/>
  <c r="G83" i="1" s="1"/>
  <c r="O67" i="1"/>
  <c r="L114" i="1"/>
  <c r="L113" i="1"/>
  <c r="L119" i="1"/>
  <c r="L118" i="1"/>
  <c r="D89" i="1"/>
  <c r="G89" i="1" s="1"/>
  <c r="D88" i="1"/>
  <c r="G88" i="1" s="1"/>
  <c r="N70" i="1"/>
  <c r="P70" i="1" s="1"/>
  <c r="O72" i="1"/>
  <c r="P72" i="1"/>
  <c r="P68" i="1"/>
  <c r="O68" i="1"/>
  <c r="P69" i="1"/>
  <c r="O69" i="1"/>
  <c r="P71" i="1"/>
  <c r="O71" i="1"/>
  <c r="P73" i="1"/>
  <c r="O73" i="1"/>
  <c r="P66" i="1"/>
  <c r="O66" i="1"/>
  <c r="Q72" i="1"/>
  <c r="D82" i="1" s="1"/>
  <c r="G82" i="1" s="1"/>
  <c r="H83" i="1"/>
  <c r="H82" i="1"/>
  <c r="H89" i="1"/>
  <c r="H88" i="1"/>
  <c r="D80" i="1" l="1"/>
  <c r="G80" i="1" s="1"/>
  <c r="N112" i="1"/>
  <c r="Q112" i="1"/>
  <c r="D131" i="1" s="1"/>
  <c r="G131" i="1" s="1"/>
  <c r="Q116" i="1"/>
  <c r="N116" i="1"/>
  <c r="Q111" i="1"/>
  <c r="D130" i="1" s="1"/>
  <c r="N119" i="1"/>
  <c r="Q119" i="1"/>
  <c r="D137" i="1" s="1"/>
  <c r="N114" i="1"/>
  <c r="Q114" i="1"/>
  <c r="Q115" i="1"/>
  <c r="N115" i="1"/>
  <c r="Q110" i="1"/>
  <c r="D129" i="1" s="1"/>
  <c r="N118" i="1"/>
  <c r="Q118" i="1"/>
  <c r="D136" i="1" s="1"/>
  <c r="Q113" i="1"/>
  <c r="N113" i="1"/>
  <c r="I89" i="1"/>
  <c r="J89" i="1" s="1"/>
  <c r="D85" i="1"/>
  <c r="G85" i="1" s="1"/>
  <c r="I83" i="1"/>
  <c r="J83" i="1" s="1"/>
  <c r="I88" i="1"/>
  <c r="J88" i="1" s="1"/>
  <c r="D86" i="1"/>
  <c r="G86" i="1" s="1"/>
  <c r="D79" i="1"/>
  <c r="G79" i="1" s="1"/>
  <c r="I82" i="1"/>
  <c r="J82" i="1" s="1"/>
  <c r="O70" i="1"/>
  <c r="H80" i="1"/>
  <c r="H79" i="1"/>
  <c r="H86" i="1"/>
  <c r="H85" i="1"/>
  <c r="H131" i="1"/>
  <c r="I80" i="1" l="1"/>
  <c r="J80" i="1" s="1"/>
  <c r="D140" i="1"/>
  <c r="G140" i="1" s="1"/>
  <c r="I131" i="1"/>
  <c r="J131" i="1" s="1"/>
  <c r="P112" i="1"/>
  <c r="D127" i="1" s="1"/>
  <c r="G127" i="1" s="1"/>
  <c r="O112" i="1"/>
  <c r="D139" i="1"/>
  <c r="G139" i="1" s="1"/>
  <c r="G130" i="1"/>
  <c r="G129" i="1"/>
  <c r="P118" i="1"/>
  <c r="O118" i="1"/>
  <c r="P110" i="1"/>
  <c r="O110" i="1"/>
  <c r="O114" i="1"/>
  <c r="P114" i="1"/>
  <c r="O119" i="1"/>
  <c r="P119" i="1"/>
  <c r="P111" i="1"/>
  <c r="O111" i="1"/>
  <c r="P113" i="1"/>
  <c r="D133" i="1" s="1"/>
  <c r="O113" i="1"/>
  <c r="P115" i="1"/>
  <c r="O115" i="1"/>
  <c r="O116" i="1"/>
  <c r="P116" i="1"/>
  <c r="G136" i="1"/>
  <c r="G137" i="1"/>
  <c r="I85" i="1"/>
  <c r="J85" i="1" s="1"/>
  <c r="I86" i="1"/>
  <c r="J86" i="1" s="1"/>
  <c r="I79" i="1"/>
  <c r="J79" i="1" s="1"/>
  <c r="H140" i="1"/>
  <c r="H136" i="1"/>
  <c r="H137" i="1"/>
  <c r="H127" i="1"/>
  <c r="H129" i="1"/>
  <c r="H130" i="1"/>
  <c r="H139" i="1"/>
  <c r="I140" i="1" l="1"/>
  <c r="J140" i="1" s="1"/>
  <c r="D134" i="1"/>
  <c r="G134" i="1" s="1"/>
  <c r="D125" i="1"/>
  <c r="G125" i="1" s="1"/>
  <c r="I127" i="1"/>
  <c r="J127" i="1" s="1"/>
  <c r="I139" i="1"/>
  <c r="J139" i="1" s="1"/>
  <c r="D126" i="1"/>
  <c r="G126" i="1" s="1"/>
  <c r="G133" i="1"/>
  <c r="I130" i="1"/>
  <c r="J130" i="1" s="1"/>
  <c r="I129" i="1"/>
  <c r="J129" i="1" s="1"/>
  <c r="I136" i="1"/>
  <c r="J136" i="1" s="1"/>
  <c r="I137" i="1"/>
  <c r="J137" i="1" s="1"/>
  <c r="H125" i="1"/>
  <c r="H133" i="1"/>
  <c r="H126" i="1"/>
  <c r="H134" i="1"/>
  <c r="I125" i="1" l="1"/>
  <c r="J125" i="1" s="1"/>
  <c r="I134" i="1"/>
  <c r="J134" i="1" s="1"/>
  <c r="I126" i="1"/>
  <c r="J126" i="1" s="1"/>
  <c r="I133" i="1"/>
  <c r="J133" i="1" s="1"/>
</calcChain>
</file>

<file path=xl/sharedStrings.xml><?xml version="1.0" encoding="utf-8"?>
<sst xmlns="http://schemas.openxmlformats.org/spreadsheetml/2006/main" count="477" uniqueCount="143">
  <si>
    <t>INPUTS</t>
  </si>
  <si>
    <t>L1</t>
  </si>
  <si>
    <t>L2</t>
  </si>
  <si>
    <t>fc'</t>
  </si>
  <si>
    <t>Parameters</t>
  </si>
  <si>
    <t>value</t>
  </si>
  <si>
    <t>units</t>
  </si>
  <si>
    <t>ft</t>
  </si>
  <si>
    <t>psi</t>
  </si>
  <si>
    <t>slab thickness(h)</t>
  </si>
  <si>
    <t>inch</t>
  </si>
  <si>
    <t>Column Dimension</t>
  </si>
  <si>
    <t>INTERIOR(I)</t>
  </si>
  <si>
    <t>λ</t>
  </si>
  <si>
    <t>Φ</t>
  </si>
  <si>
    <t>Using one-way shear check</t>
  </si>
  <si>
    <r>
      <t>V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=q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*Max(effective_sheararea in X,effective_sheararea in Y)</t>
    </r>
  </si>
  <si>
    <r>
      <t>V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=(</t>
    </r>
    <r>
      <rPr>
        <sz val="10"/>
        <color theme="1"/>
        <rFont val="Calibri"/>
        <family val="2"/>
      </rPr>
      <t>Φ*V</t>
    </r>
    <r>
      <rPr>
        <vertAlign val="subscript"/>
        <sz val="10"/>
        <color theme="1"/>
        <rFont val="Calibri"/>
        <family val="2"/>
      </rPr>
      <t>n</t>
    </r>
    <r>
      <rPr>
        <sz val="10"/>
        <color theme="1"/>
        <rFont val="Calibri"/>
        <family val="2"/>
      </rPr>
      <t>)=Φ*(2*λ*b*d</t>
    </r>
    <r>
      <rPr>
        <vertAlign val="subscript"/>
        <sz val="10"/>
        <color theme="1"/>
        <rFont val="Calibri"/>
        <family val="2"/>
      </rPr>
      <t>slab</t>
    </r>
    <r>
      <rPr>
        <sz val="10"/>
        <color theme="1"/>
        <rFont val="Calibri"/>
        <family val="2"/>
      </rPr>
      <t>*√f</t>
    </r>
    <r>
      <rPr>
        <vertAlign val="superscript"/>
        <sz val="10"/>
        <color theme="1"/>
        <rFont val="Calibri"/>
        <family val="2"/>
      </rPr>
      <t>'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</si>
  <si>
    <t>2. DESIGNING STEEL REINFORCEMENT</t>
  </si>
  <si>
    <r>
      <t>q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=(using 90% qu)</t>
    </r>
  </si>
  <si>
    <r>
      <t>Max shear slab can withstand=Φ*V</t>
    </r>
    <r>
      <rPr>
        <vertAlign val="subscript"/>
        <sz val="10"/>
        <color theme="1"/>
        <rFont val="Calibri"/>
        <family val="2"/>
        <scheme val="minor"/>
      </rPr>
      <t>n</t>
    </r>
  </si>
  <si>
    <t>Calculating stiffnesss parameters for beam,slab and torsion</t>
  </si>
  <si>
    <r>
      <t>I</t>
    </r>
    <r>
      <rPr>
        <vertAlign val="subscript"/>
        <sz val="10"/>
        <color theme="1"/>
        <rFont val="Calibri"/>
        <family val="2"/>
        <scheme val="minor"/>
      </rPr>
      <t>binterior</t>
    </r>
  </si>
  <si>
    <t>beam dimensions</t>
  </si>
  <si>
    <t>h</t>
  </si>
  <si>
    <r>
      <t>α</t>
    </r>
    <r>
      <rPr>
        <vertAlign val="subscript"/>
        <sz val="11"/>
        <color theme="1"/>
        <rFont val="Calibri"/>
        <family val="2"/>
      </rPr>
      <t>f1=</t>
    </r>
    <r>
      <rPr>
        <sz val="11"/>
        <color theme="1"/>
        <rFont val="Calibri"/>
        <family val="2"/>
      </rPr>
      <t>(E</t>
    </r>
    <r>
      <rPr>
        <vertAlign val="subscript"/>
        <sz val="11"/>
        <color theme="1"/>
        <rFont val="Calibri"/>
        <family val="2"/>
      </rPr>
      <t>cb</t>
    </r>
    <r>
      <rPr>
        <sz val="11"/>
        <color theme="1"/>
        <rFont val="Calibri"/>
        <family val="2"/>
      </rPr>
      <t>*I</t>
    </r>
    <r>
      <rPr>
        <vertAlign val="subscript"/>
        <sz val="11"/>
        <color theme="1"/>
        <rFont val="Calibri"/>
        <family val="2"/>
      </rPr>
      <t>binterior</t>
    </r>
    <r>
      <rPr>
        <sz val="11"/>
        <color theme="1"/>
        <rFont val="Calibri"/>
        <family val="2"/>
      </rPr>
      <t>)/(E</t>
    </r>
    <r>
      <rPr>
        <vertAlign val="subscript"/>
        <sz val="11"/>
        <color theme="1"/>
        <rFont val="Calibri"/>
        <family val="2"/>
      </rPr>
      <t>cs</t>
    </r>
    <r>
      <rPr>
        <sz val="11"/>
        <color theme="1"/>
        <rFont val="Calibri"/>
        <family val="2"/>
      </rPr>
      <t>*I</t>
    </r>
    <r>
      <rPr>
        <vertAlign val="subscript"/>
        <sz val="11"/>
        <color theme="1"/>
        <rFont val="Calibri"/>
        <family val="2"/>
      </rPr>
      <t>s1</t>
    </r>
    <r>
      <rPr>
        <sz val="11"/>
        <color theme="1"/>
        <rFont val="Calibri"/>
        <family val="2"/>
      </rPr>
      <t>)</t>
    </r>
  </si>
  <si>
    <r>
      <t>α</t>
    </r>
    <r>
      <rPr>
        <vertAlign val="subscript"/>
        <sz val="11"/>
        <color theme="1"/>
        <rFont val="Calibri"/>
        <family val="2"/>
      </rPr>
      <t>f2=</t>
    </r>
    <r>
      <rPr>
        <sz val="11"/>
        <color theme="1"/>
        <rFont val="Calibri"/>
        <family val="2"/>
      </rPr>
      <t>(E</t>
    </r>
    <r>
      <rPr>
        <vertAlign val="subscript"/>
        <sz val="11"/>
        <color theme="1"/>
        <rFont val="Calibri"/>
        <family val="2"/>
      </rPr>
      <t>cb</t>
    </r>
    <r>
      <rPr>
        <sz val="11"/>
        <color theme="1"/>
        <rFont val="Calibri"/>
        <family val="2"/>
      </rPr>
      <t>*I</t>
    </r>
    <r>
      <rPr>
        <vertAlign val="subscript"/>
        <sz val="11"/>
        <color theme="1"/>
        <rFont val="Calibri"/>
        <family val="2"/>
      </rPr>
      <t>binterior</t>
    </r>
    <r>
      <rPr>
        <sz val="11"/>
        <color theme="1"/>
        <rFont val="Calibri"/>
        <family val="2"/>
      </rPr>
      <t>)/(E</t>
    </r>
    <r>
      <rPr>
        <vertAlign val="subscript"/>
        <sz val="11"/>
        <color theme="1"/>
        <rFont val="Calibri"/>
        <family val="2"/>
      </rPr>
      <t>cs</t>
    </r>
    <r>
      <rPr>
        <sz val="11"/>
        <color theme="1"/>
        <rFont val="Calibri"/>
        <family val="2"/>
      </rPr>
      <t>*I</t>
    </r>
    <r>
      <rPr>
        <vertAlign val="subscript"/>
        <sz val="11"/>
        <color theme="1"/>
        <rFont val="Calibri"/>
        <family val="2"/>
      </rPr>
      <t>s2</t>
    </r>
    <r>
      <rPr>
        <sz val="11"/>
        <color theme="1"/>
        <rFont val="Calibri"/>
        <family val="2"/>
      </rPr>
      <t>)</t>
    </r>
  </si>
  <si>
    <r>
      <t>α</t>
    </r>
    <r>
      <rPr>
        <vertAlign val="subscript"/>
        <sz val="11"/>
        <color theme="1"/>
        <rFont val="Calibri"/>
        <family val="2"/>
      </rPr>
      <t>f3=</t>
    </r>
    <r>
      <rPr>
        <sz val="11"/>
        <color theme="1"/>
        <rFont val="Calibri"/>
        <family val="2"/>
      </rPr>
      <t>(E</t>
    </r>
    <r>
      <rPr>
        <vertAlign val="subscript"/>
        <sz val="11"/>
        <color theme="1"/>
        <rFont val="Calibri"/>
        <family val="2"/>
      </rPr>
      <t>cb</t>
    </r>
    <r>
      <rPr>
        <sz val="11"/>
        <color theme="1"/>
        <rFont val="Calibri"/>
        <family val="2"/>
      </rPr>
      <t>*I</t>
    </r>
    <r>
      <rPr>
        <vertAlign val="subscript"/>
        <sz val="11"/>
        <color theme="1"/>
        <rFont val="Calibri"/>
        <family val="2"/>
      </rPr>
      <t>binterior</t>
    </r>
    <r>
      <rPr>
        <sz val="11"/>
        <color theme="1"/>
        <rFont val="Calibri"/>
        <family val="2"/>
      </rPr>
      <t>)/(E</t>
    </r>
    <r>
      <rPr>
        <vertAlign val="subscript"/>
        <sz val="11"/>
        <color theme="1"/>
        <rFont val="Calibri"/>
        <family val="2"/>
      </rPr>
      <t>cs</t>
    </r>
    <r>
      <rPr>
        <sz val="11"/>
        <color theme="1"/>
        <rFont val="Calibri"/>
        <family val="2"/>
      </rPr>
      <t>*I</t>
    </r>
    <r>
      <rPr>
        <vertAlign val="subscript"/>
        <sz val="11"/>
        <color theme="1"/>
        <rFont val="Calibri"/>
        <family val="2"/>
      </rPr>
      <t>s3</t>
    </r>
    <r>
      <rPr>
        <sz val="11"/>
        <color theme="1"/>
        <rFont val="Calibri"/>
        <family val="2"/>
      </rPr>
      <t>)</t>
    </r>
  </si>
  <si>
    <r>
      <t>α</t>
    </r>
    <r>
      <rPr>
        <vertAlign val="subscript"/>
        <sz val="11"/>
        <color theme="1"/>
        <rFont val="Calibri"/>
        <family val="2"/>
      </rPr>
      <t>f4=</t>
    </r>
    <r>
      <rPr>
        <sz val="11"/>
        <color theme="1"/>
        <rFont val="Calibri"/>
        <family val="2"/>
      </rPr>
      <t>(E</t>
    </r>
    <r>
      <rPr>
        <vertAlign val="subscript"/>
        <sz val="11"/>
        <color theme="1"/>
        <rFont val="Calibri"/>
        <family val="2"/>
      </rPr>
      <t>cb</t>
    </r>
    <r>
      <rPr>
        <sz val="11"/>
        <color theme="1"/>
        <rFont val="Calibri"/>
        <family val="2"/>
      </rPr>
      <t>*I</t>
    </r>
    <r>
      <rPr>
        <vertAlign val="subscript"/>
        <sz val="11"/>
        <color theme="1"/>
        <rFont val="Calibri"/>
        <family val="2"/>
      </rPr>
      <t>binterior</t>
    </r>
    <r>
      <rPr>
        <sz val="11"/>
        <color theme="1"/>
        <rFont val="Calibri"/>
        <family val="2"/>
      </rPr>
      <t>)/(E</t>
    </r>
    <r>
      <rPr>
        <vertAlign val="subscript"/>
        <sz val="11"/>
        <color theme="1"/>
        <rFont val="Calibri"/>
        <family val="2"/>
      </rPr>
      <t>cs</t>
    </r>
    <r>
      <rPr>
        <sz val="11"/>
        <color theme="1"/>
        <rFont val="Calibri"/>
        <family val="2"/>
      </rPr>
      <t>*I</t>
    </r>
    <r>
      <rPr>
        <vertAlign val="subscript"/>
        <sz val="11"/>
        <color theme="1"/>
        <rFont val="Calibri"/>
        <family val="2"/>
      </rPr>
      <t>s4</t>
    </r>
    <r>
      <rPr>
        <sz val="11"/>
        <color theme="1"/>
        <rFont val="Calibri"/>
        <family val="2"/>
      </rPr>
      <t>)</t>
    </r>
  </si>
  <si>
    <r>
      <t>α</t>
    </r>
    <r>
      <rPr>
        <vertAlign val="subscript"/>
        <sz val="11"/>
        <color theme="1"/>
        <rFont val="Calibri"/>
        <family val="2"/>
      </rPr>
      <t>fm</t>
    </r>
    <r>
      <rPr>
        <sz val="11"/>
        <color theme="1"/>
        <rFont val="Calibri"/>
        <family val="2"/>
      </rPr>
      <t>=(α</t>
    </r>
    <r>
      <rPr>
        <vertAlign val="subscript"/>
        <sz val="11"/>
        <color theme="1"/>
        <rFont val="Calibri"/>
        <family val="2"/>
      </rPr>
      <t>f1</t>
    </r>
    <r>
      <rPr>
        <sz val="11"/>
        <color theme="1"/>
        <rFont val="Calibri"/>
        <family val="2"/>
      </rPr>
      <t>+α</t>
    </r>
    <r>
      <rPr>
        <vertAlign val="subscript"/>
        <sz val="11"/>
        <color theme="1"/>
        <rFont val="Calibri"/>
        <family val="2"/>
      </rPr>
      <t>f2</t>
    </r>
    <r>
      <rPr>
        <sz val="11"/>
        <color theme="1"/>
        <rFont val="Calibri"/>
        <family val="2"/>
      </rPr>
      <t>+α</t>
    </r>
    <r>
      <rPr>
        <vertAlign val="subscript"/>
        <sz val="11"/>
        <color theme="1"/>
        <rFont val="Calibri"/>
        <family val="2"/>
      </rPr>
      <t>f3</t>
    </r>
    <r>
      <rPr>
        <sz val="11"/>
        <color theme="1"/>
        <rFont val="Calibri"/>
        <family val="2"/>
      </rPr>
      <t>+α</t>
    </r>
    <r>
      <rPr>
        <vertAlign val="subscript"/>
        <sz val="11"/>
        <color theme="1"/>
        <rFont val="Calibri"/>
        <family val="2"/>
      </rPr>
      <t>f4</t>
    </r>
    <r>
      <rPr>
        <sz val="11"/>
        <color theme="1"/>
        <rFont val="Calibri"/>
        <family val="2"/>
      </rPr>
      <t>)/4</t>
    </r>
  </si>
  <si>
    <t>Distribution of Moments</t>
  </si>
  <si>
    <t>Edge type</t>
  </si>
  <si>
    <t>interior span</t>
  </si>
  <si>
    <t xml:space="preserve">column strip </t>
  </si>
  <si>
    <t>dimension(L1,L2)</t>
  </si>
  <si>
    <t>INTnegative</t>
  </si>
  <si>
    <t>DESCRIPTION</t>
  </si>
  <si>
    <t>Span type</t>
  </si>
  <si>
    <t>interior edge</t>
  </si>
  <si>
    <t>exterior edge</t>
  </si>
  <si>
    <t>edge 1</t>
  </si>
  <si>
    <t>edge 2</t>
  </si>
  <si>
    <t>edge 3</t>
  </si>
  <si>
    <t>edge 4</t>
  </si>
  <si>
    <t>with or w/o beams</t>
  </si>
  <si>
    <t>Defining strips</t>
  </si>
  <si>
    <t>p3</t>
  </si>
  <si>
    <t>L</t>
  </si>
  <si>
    <t>left of the edge</t>
  </si>
  <si>
    <t>right of  the edge</t>
  </si>
  <si>
    <t>nature</t>
  </si>
  <si>
    <t>percentage</t>
  </si>
  <si>
    <t>moment</t>
  </si>
  <si>
    <t>TOP EDGE(E1)</t>
  </si>
  <si>
    <t>NOTE- type in the values of L1, L2, left of edge, right of edge manually</t>
  </si>
  <si>
    <r>
      <t>1. CALCULATING q</t>
    </r>
    <r>
      <rPr>
        <b/>
        <vertAlign val="subscript"/>
        <sz val="12"/>
        <color theme="1"/>
        <rFont val="Calibri"/>
        <family val="2"/>
        <scheme val="minor"/>
      </rPr>
      <t>u</t>
    </r>
    <r>
      <rPr>
        <b/>
        <sz val="12"/>
        <color theme="1"/>
        <rFont val="Calibri"/>
        <family val="2"/>
        <scheme val="minor"/>
      </rPr>
      <t xml:space="preserve"> USING SHEAR CHECK</t>
    </r>
  </si>
  <si>
    <t>Design Chart</t>
  </si>
  <si>
    <t>Ru</t>
  </si>
  <si>
    <t>ρ</t>
  </si>
  <si>
    <t>As</t>
  </si>
  <si>
    <t>#4</t>
  </si>
  <si>
    <t>22' span horizontal column strip</t>
  </si>
  <si>
    <t>positive</t>
  </si>
  <si>
    <t>interior negative</t>
  </si>
  <si>
    <t>22' span horizontal middle strip</t>
  </si>
  <si>
    <t>22' span vertical column strip</t>
  </si>
  <si>
    <t>22' span vertical middle strip</t>
  </si>
  <si>
    <t>clear cover</t>
  </si>
  <si>
    <t>bar #</t>
  </si>
  <si>
    <t>note- clear cover, bar no, b manually</t>
  </si>
  <si>
    <r>
      <t>kip/ft</t>
    </r>
    <r>
      <rPr>
        <vertAlign val="superscript"/>
        <sz val="10"/>
        <color theme="1"/>
        <rFont val="Calibri"/>
        <family val="2"/>
        <scheme val="minor"/>
      </rPr>
      <t>2</t>
    </r>
  </si>
  <si>
    <t>b(inches)</t>
  </si>
  <si>
    <t>d(inches)</t>
  </si>
  <si>
    <t>static moments(kip.ft)</t>
  </si>
  <si>
    <t>Mu(lb.inch)</t>
  </si>
  <si>
    <t>fy</t>
  </si>
  <si>
    <t>area of bar</t>
  </si>
  <si>
    <t>sq.inch</t>
  </si>
  <si>
    <t>Input</t>
  </si>
  <si>
    <r>
      <t>MOMENT OF INERTIA CALCULATION(I</t>
    </r>
    <r>
      <rPr>
        <vertAlign val="subscript"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>) FOR BEAMS</t>
    </r>
  </si>
  <si>
    <r>
      <t>d</t>
    </r>
    <r>
      <rPr>
        <vertAlign val="subscript"/>
        <sz val="10"/>
        <color theme="1"/>
        <rFont val="Calibri"/>
        <family val="2"/>
        <scheme val="minor"/>
      </rPr>
      <t>slab</t>
    </r>
  </si>
  <si>
    <r>
      <t>E</t>
    </r>
    <r>
      <rPr>
        <vertAlign val="subscript"/>
        <sz val="10"/>
        <color theme="1"/>
        <rFont val="Calibri"/>
        <family val="2"/>
        <scheme val="minor"/>
      </rPr>
      <t>cb</t>
    </r>
  </si>
  <si>
    <r>
      <t>E</t>
    </r>
    <r>
      <rPr>
        <vertAlign val="subscript"/>
        <sz val="10"/>
        <color theme="1"/>
        <rFont val="Calibri"/>
        <family val="2"/>
        <scheme val="minor"/>
      </rPr>
      <t>cs</t>
    </r>
  </si>
  <si>
    <r>
      <t>b</t>
    </r>
    <r>
      <rPr>
        <vertAlign val="subscript"/>
        <sz val="10"/>
        <color theme="1"/>
        <rFont val="Calibri"/>
        <family val="2"/>
        <scheme val="minor"/>
      </rPr>
      <t>w</t>
    </r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</si>
  <si>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</si>
  <si>
    <r>
      <t>b</t>
    </r>
    <r>
      <rPr>
        <vertAlign val="subscript"/>
        <sz val="10"/>
        <color theme="1"/>
        <rFont val="Calibri"/>
        <family val="2"/>
        <scheme val="minor"/>
      </rPr>
      <t>column</t>
    </r>
  </si>
  <si>
    <r>
      <t>h</t>
    </r>
    <r>
      <rPr>
        <vertAlign val="subscript"/>
        <sz val="10"/>
        <color theme="1"/>
        <rFont val="Calibri"/>
        <family val="2"/>
        <scheme val="minor"/>
      </rPr>
      <t>column</t>
    </r>
  </si>
  <si>
    <r>
      <t>inch</t>
    </r>
    <r>
      <rPr>
        <vertAlign val="superscript"/>
        <sz val="10"/>
        <color theme="1"/>
        <rFont val="Calibri"/>
        <family val="2"/>
        <scheme val="minor"/>
      </rPr>
      <t>4</t>
    </r>
  </si>
  <si>
    <r>
      <t>I</t>
    </r>
    <r>
      <rPr>
        <vertAlign val="subscript"/>
        <sz val="10"/>
        <color theme="1"/>
        <rFont val="Calibri"/>
        <family val="2"/>
        <scheme val="minor"/>
      </rPr>
      <t>bexterior</t>
    </r>
  </si>
  <si>
    <t>endspan</t>
  </si>
  <si>
    <t>EXTnegative</t>
  </si>
  <si>
    <t>18' span vertical column strip</t>
  </si>
  <si>
    <t>Exterior negative</t>
  </si>
  <si>
    <t>c=</t>
  </si>
  <si>
    <t>slab without beams</t>
  </si>
  <si>
    <t>18' span vertical middle strip</t>
  </si>
  <si>
    <t>22' span horizontal column strip half</t>
  </si>
  <si>
    <t>22' span horizontal middle strip half</t>
  </si>
  <si>
    <t>25' span horizontal column strip</t>
  </si>
  <si>
    <t>25' span horizontal middle strip</t>
  </si>
  <si>
    <t>20' span vertical column strip</t>
  </si>
  <si>
    <t>20' span vertical middle strip</t>
  </si>
  <si>
    <t>25' span horizontal column strip half</t>
  </si>
  <si>
    <t>25' span horizontal middle strip half</t>
  </si>
  <si>
    <t>C1</t>
  </si>
  <si>
    <t>C2</t>
  </si>
  <si>
    <t>C3</t>
  </si>
  <si>
    <t>C4</t>
  </si>
  <si>
    <t>C5</t>
  </si>
  <si>
    <t>C6</t>
  </si>
  <si>
    <t>C7</t>
  </si>
  <si>
    <t>C8</t>
  </si>
  <si>
    <t>sL</t>
  </si>
  <si>
    <t>sR</t>
  </si>
  <si>
    <t>bcoln</t>
  </si>
  <si>
    <t>dcoln</t>
  </si>
  <si>
    <t>sT</t>
  </si>
  <si>
    <t>sB</t>
  </si>
  <si>
    <t>edge</t>
  </si>
  <si>
    <t>interior</t>
  </si>
  <si>
    <t>Column #</t>
  </si>
  <si>
    <t>Location</t>
  </si>
  <si>
    <r>
      <t>two way shear(kip/ft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</si>
  <si>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one way shear (kip/ft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</si>
  <si>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s</t>
  </si>
  <si>
    <t>Column Details</t>
  </si>
  <si>
    <t>Defining strips(all dimension in ft)</t>
  </si>
  <si>
    <t>moment
(kip.ft)</t>
  </si>
  <si>
    <t>As(sq.in)</t>
  </si>
  <si>
    <t xml:space="preserve">beam
(kip.ft) </t>
  </si>
  <si>
    <t>slab
(kip.ft)</t>
  </si>
  <si>
    <t>middle strip
(kip.ft)</t>
  </si>
  <si>
    <t>beam 
(kip.ft)</t>
  </si>
  <si>
    <t>Defining strips(all dimensions in ft)</t>
  </si>
  <si>
    <t>one-way shear check</t>
  </si>
  <si>
    <r>
      <t>V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=(</t>
    </r>
    <r>
      <rPr>
        <sz val="10"/>
        <color theme="1"/>
        <rFont val="Calibri"/>
        <family val="2"/>
      </rPr>
      <t>Φ*V</t>
    </r>
    <r>
      <rPr>
        <vertAlign val="subscript"/>
        <sz val="10"/>
        <color theme="1"/>
        <rFont val="Calibri"/>
        <family val="2"/>
      </rPr>
      <t>n</t>
    </r>
    <r>
      <rPr>
        <sz val="10"/>
        <color theme="1"/>
        <rFont val="Calibri"/>
        <family val="2"/>
      </rPr>
      <t>)=MIN  [  (Φ*(4*λ*b</t>
    </r>
    <r>
      <rPr>
        <vertAlign val="subscript"/>
        <sz val="10"/>
        <color theme="1"/>
        <rFont val="Calibri"/>
        <family val="2"/>
      </rPr>
      <t>o</t>
    </r>
    <r>
      <rPr>
        <sz val="10"/>
        <color theme="1"/>
        <rFont val="Calibri"/>
        <family val="2"/>
      </rPr>
      <t>*d</t>
    </r>
    <r>
      <rPr>
        <vertAlign val="subscript"/>
        <sz val="10"/>
        <color theme="1"/>
        <rFont val="Calibri"/>
        <family val="2"/>
      </rPr>
      <t>slab</t>
    </r>
    <r>
      <rPr>
        <sz val="10"/>
        <color theme="1"/>
        <rFont val="Calibri"/>
        <family val="2"/>
      </rPr>
      <t>*√f</t>
    </r>
    <r>
      <rPr>
        <vertAlign val="superscript"/>
        <sz val="10"/>
        <color theme="1"/>
        <rFont val="Calibri"/>
        <family val="2"/>
      </rPr>
      <t>'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)) ;   ( Φ*(2+(4/β))*λ*bo*dslab*√f'c ) ;  (Φ*(2+(α</t>
    </r>
    <r>
      <rPr>
        <vertAlign val="subscript"/>
        <sz val="10"/>
        <color theme="1"/>
        <rFont val="Calibri"/>
        <family val="2"/>
      </rPr>
      <t>s</t>
    </r>
    <r>
      <rPr>
        <sz val="10"/>
        <color theme="1"/>
        <rFont val="Calibri"/>
        <family val="2"/>
      </rPr>
      <t>*d/b</t>
    </r>
    <r>
      <rPr>
        <vertAlign val="subscript"/>
        <sz val="10"/>
        <color theme="1"/>
        <rFont val="Calibri"/>
        <family val="2"/>
      </rPr>
      <t>o</t>
    </r>
    <r>
      <rPr>
        <sz val="10"/>
        <color theme="1"/>
        <rFont val="Calibri"/>
        <family val="2"/>
      </rPr>
      <t xml:space="preserve">))*λ*bo*dslab*√f'c)] </t>
    </r>
  </si>
  <si>
    <r>
      <t>V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=q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*sheararea</t>
    </r>
  </si>
  <si>
    <t>two-way shear check</t>
  </si>
  <si>
    <t>note-take Lmin while calculating b and subtract column dimension</t>
  </si>
  <si>
    <r>
      <t>Max shear slab can withstand=Φ*V</t>
    </r>
    <r>
      <rPr>
        <vertAlign val="subscript"/>
        <sz val="11"/>
        <color theme="1"/>
        <rFont val="Calibri"/>
        <family val="2"/>
        <scheme val="minor"/>
      </rPr>
      <t>n</t>
    </r>
  </si>
  <si>
    <r>
      <t>V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Calibri"/>
        <family val="2"/>
      </rPr>
      <t>Φ*V</t>
    </r>
    <r>
      <rPr>
        <vertAlign val="subscript"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)=MIN  [  (Φ*(4*λ*b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*d</t>
    </r>
    <r>
      <rPr>
        <vertAlign val="subscript"/>
        <sz val="11"/>
        <color theme="1"/>
        <rFont val="Calibri"/>
        <family val="2"/>
      </rPr>
      <t>slab</t>
    </r>
    <r>
      <rPr>
        <sz val="11"/>
        <color theme="1"/>
        <rFont val="Calibri"/>
        <family val="2"/>
      </rPr>
      <t>*√f</t>
    </r>
    <r>
      <rPr>
        <vertAlign val="superscript"/>
        <sz val="11"/>
        <color theme="1"/>
        <rFont val="Calibri"/>
        <family val="2"/>
      </rPr>
      <t>'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)) ;   ( Φ*(2+(4/β))*λ*bo*dslab*√f'c ) ;  (Φ*(2+(α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*d/b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 xml:space="preserve">))*λ*bo*dslab*√f'c)] </t>
    </r>
  </si>
  <si>
    <r>
      <t>V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=q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*sheararea</t>
    </r>
  </si>
  <si>
    <t>DESIGN OF SLABS - INTERIOR AND EDGE SLABS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</si>
</sst>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vertAlign val="superscript"/>
      <sz val="10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3" fillId="0" borderId="0" xfId="0" applyFont="1"/>
    <xf numFmtId="0" fontId="8" fillId="0" borderId="0" xfId="0" applyFont="1"/>
    <xf numFmtId="0" fontId="10" fillId="0" borderId="0" xfId="0" applyFont="1"/>
    <xf numFmtId="0" fontId="0" fillId="0" borderId="0" xfId="0" applyAlignment="1">
      <alignment horizontal="right"/>
    </xf>
    <xf numFmtId="0" fontId="0" fillId="0" borderId="4" xfId="0" applyBorder="1"/>
    <xf numFmtId="0" fontId="1" fillId="0" borderId="0" xfId="0" applyFont="1"/>
    <xf numFmtId="0" fontId="1" fillId="0" borderId="0" xfId="0" applyFont="1" applyBorder="1" applyAlignment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0" fillId="0" borderId="0" xfId="0" applyBorder="1"/>
    <xf numFmtId="0" fontId="0" fillId="0" borderId="4" xfId="0" applyBorder="1" applyAlignment="1">
      <alignment horizontal="center"/>
    </xf>
    <xf numFmtId="0" fontId="15" fillId="4" borderId="1" xfId="0" applyFont="1" applyFill="1" applyBorder="1"/>
    <xf numFmtId="0" fontId="15" fillId="4" borderId="2" xfId="0" applyFont="1" applyFill="1" applyBorder="1"/>
    <xf numFmtId="0" fontId="15" fillId="4" borderId="3" xfId="0" applyFont="1" applyFill="1" applyBorder="1"/>
    <xf numFmtId="0" fontId="15" fillId="0" borderId="0" xfId="0" applyFont="1"/>
    <xf numFmtId="0" fontId="0" fillId="5" borderId="4" xfId="0" applyFont="1" applyFill="1" applyBorder="1"/>
    <xf numFmtId="0" fontId="8" fillId="5" borderId="4" xfId="0" applyFont="1" applyFill="1" applyBorder="1"/>
    <xf numFmtId="0" fontId="0" fillId="0" borderId="0" xfId="0" applyFont="1" applyBorder="1" applyAlignment="1"/>
    <xf numFmtId="0" fontId="4" fillId="0" borderId="0" xfId="0" applyFont="1" applyBorder="1"/>
    <xf numFmtId="0" fontId="0" fillId="0" borderId="10" xfId="0" applyBorder="1"/>
    <xf numFmtId="0" fontId="1" fillId="0" borderId="4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left"/>
    </xf>
    <xf numFmtId="0" fontId="0" fillId="0" borderId="10" xfId="0" applyFont="1" applyBorder="1" applyAlignment="1">
      <alignment horizontal="center"/>
    </xf>
    <xf numFmtId="0" fontId="3" fillId="0" borderId="6" xfId="0" applyFont="1" applyBorder="1"/>
    <xf numFmtId="0" fontId="0" fillId="0" borderId="6" xfId="0" applyBorder="1"/>
    <xf numFmtId="0" fontId="3" fillId="0" borderId="10" xfId="0" applyFont="1" applyBorder="1"/>
    <xf numFmtId="2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/>
    <xf numFmtId="0" fontId="3" fillId="0" borderId="4" xfId="0" applyFont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4" xfId="0" applyFont="1" applyBorder="1" applyAlignment="1">
      <alignment horizontal="center"/>
    </xf>
    <xf numFmtId="0" fontId="1" fillId="0" borderId="0" xfId="0" applyFont="1" applyBorder="1" applyAlignment="1">
      <alignment vertical="top" wrapText="1"/>
    </xf>
    <xf numFmtId="0" fontId="0" fillId="0" borderId="0" xfId="0" applyFont="1"/>
    <xf numFmtId="0" fontId="0" fillId="0" borderId="0" xfId="0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6" borderId="8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0" borderId="7" xfId="0" applyBorder="1"/>
    <xf numFmtId="0" fontId="0" fillId="0" borderId="5" xfId="0" applyBorder="1"/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7" fillId="8" borderId="16" xfId="0" applyFont="1" applyFill="1" applyBorder="1" applyAlignment="1">
      <alignment horizontal="center"/>
    </xf>
    <xf numFmtId="0" fontId="7" fillId="8" borderId="17" xfId="0" applyFont="1" applyFill="1" applyBorder="1" applyAlignment="1">
      <alignment horizontal="center"/>
    </xf>
    <xf numFmtId="0" fontId="7" fillId="8" borderId="18" xfId="0" applyFont="1" applyFill="1" applyBorder="1" applyAlignment="1">
      <alignment horizontal="center"/>
    </xf>
    <xf numFmtId="0" fontId="0" fillId="7" borderId="12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4" borderId="2" xfId="0" applyFont="1" applyFill="1" applyBorder="1" applyAlignment="1">
      <alignment horizontal="center"/>
    </xf>
    <xf numFmtId="0" fontId="15" fillId="4" borderId="3" xfId="0" applyFont="1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6" borderId="8" xfId="0" applyFill="1" applyBorder="1" applyAlignment="1"/>
    <xf numFmtId="0" fontId="0" fillId="6" borderId="7" xfId="0" applyFill="1" applyBorder="1" applyAlignment="1"/>
    <xf numFmtId="0" fontId="0" fillId="6" borderId="5" xfId="0" applyFill="1" applyBorder="1" applyAlignment="1"/>
    <xf numFmtId="0" fontId="0" fillId="0" borderId="8" xfId="0" applyBorder="1" applyAlignment="1"/>
    <xf numFmtId="0" fontId="0" fillId="0" borderId="5" xfId="0" applyBorder="1" applyAlignment="1"/>
    <xf numFmtId="0" fontId="0" fillId="5" borderId="8" xfId="0" applyFill="1" applyBorder="1" applyAlignment="1"/>
    <xf numFmtId="0" fontId="0" fillId="5" borderId="5" xfId="0" applyFill="1" applyBorder="1" applyAlignment="1"/>
    <xf numFmtId="0" fontId="1" fillId="0" borderId="0" xfId="0" applyFont="1" applyBorder="1" applyAlignment="1">
      <alignment horizontal="center" vertical="top" wrapText="1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0" xfId="0" applyBorder="1" applyAlignment="1">
      <alignment wrapText="1"/>
    </xf>
    <xf numFmtId="0" fontId="2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225772</xdr:colOff>
      <xdr:row>5</xdr:row>
      <xdr:rowOff>170445</xdr:rowOff>
    </xdr:from>
    <xdr:to>
      <xdr:col>11</xdr:col>
      <xdr:colOff>533819</xdr:colOff>
      <xdr:row>24</xdr:row>
      <xdr:rowOff>1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pSpPr/>
      </xdr:nvGrpSpPr>
      <xdr:grpSpPr>
        <a:xfrm>
          <a:off x="6124548" y="1156563"/>
          <a:ext cx="4360095" cy="3460262"/>
          <a:chOff x="5116995" y="480392"/>
          <a:chExt cx="4095757" cy="3530918"/>
        </a:xfrm>
      </xdr:grpSpPr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5116995" y="480392"/>
            <a:ext cx="4095757" cy="3530918"/>
            <a:chOff x="6858486" y="219868"/>
            <a:chExt cx="5418825" cy="4942682"/>
          </a:xfrm>
        </xdr:grpSpPr>
        <xdr:cxnSp macro="">
          <xdr:nvCxnSpPr>
            <xdr:cNvPr id="41" name="Straight Connector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CxnSpPr/>
          </xdr:nvCxnSpPr>
          <xdr:spPr>
            <a:xfrm rot="16200000" flipH="1">
              <a:off x="7000151" y="4131469"/>
              <a:ext cx="971550" cy="4762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CxnSpPr/>
          </xdr:nvCxnSpPr>
          <xdr:spPr>
            <a:xfrm rot="16200000" flipH="1">
              <a:off x="10407616" y="4121944"/>
              <a:ext cx="971550" cy="4762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Straight Connector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CxnSpPr/>
          </xdr:nvCxnSpPr>
          <xdr:spPr>
            <a:xfrm>
              <a:off x="10891010" y="952500"/>
              <a:ext cx="859113" cy="1588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4" name="Straight Connector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CxnSpPr/>
          </xdr:nvCxnSpPr>
          <xdr:spPr>
            <a:xfrm>
              <a:off x="10871960" y="3629025"/>
              <a:ext cx="859113" cy="1588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" name="Straight Connector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CxnSpPr/>
          </xdr:nvCxnSpPr>
          <xdr:spPr>
            <a:xfrm>
              <a:off x="10900535" y="2286000"/>
              <a:ext cx="859113" cy="1588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CxnSpPr/>
          </xdr:nvCxnSpPr>
          <xdr:spPr>
            <a:xfrm rot="16200000" flipH="1">
              <a:off x="8703884" y="4101237"/>
              <a:ext cx="971550" cy="8075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7488240" y="942975"/>
              <a:ext cx="1705636" cy="1343025"/>
            </a:xfrm>
            <a:prstGeom prst="rect">
              <a:avLst/>
            </a:prstGeom>
            <a:ln w="38100"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3" name="Rectangl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7488240" y="2286000"/>
              <a:ext cx="1705636" cy="1343025"/>
            </a:xfrm>
            <a:prstGeom prst="rect">
              <a:avLst/>
            </a:prstGeom>
            <a:ln w="38100"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9193876" y="2286000"/>
              <a:ext cx="1700858" cy="1343025"/>
            </a:xfrm>
            <a:prstGeom prst="rect">
              <a:avLst/>
            </a:prstGeom>
            <a:ln w="38100"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9193876" y="942975"/>
              <a:ext cx="1700858" cy="1343025"/>
            </a:xfrm>
            <a:prstGeom prst="rect">
              <a:avLst/>
            </a:prstGeom>
            <a:ln w="38100"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cxnSp macro="">
          <xdr:nvCxnSpPr>
            <xdr:cNvPr id="7" name="Straight Connector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CxnSpPr/>
          </xdr:nvCxnSpPr>
          <xdr:spPr>
            <a:xfrm rot="5400000">
              <a:off x="5026820" y="2681288"/>
              <a:ext cx="4923631" cy="79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CxnSpPr/>
          </xdr:nvCxnSpPr>
          <xdr:spPr>
            <a:xfrm rot="5400000">
              <a:off x="8457126" y="2724151"/>
              <a:ext cx="4876006" cy="79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Straight Connector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CxnSpPr/>
          </xdr:nvCxnSpPr>
          <xdr:spPr>
            <a:xfrm rot="5400000">
              <a:off x="6737218" y="2705101"/>
              <a:ext cx="4914106" cy="79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478737" y="933450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9103581" y="942975"/>
              <a:ext cx="166308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10799717" y="942975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9103581" y="2200275"/>
              <a:ext cx="166308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10780712" y="2200275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0790215" y="3543300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103581" y="3543300"/>
              <a:ext cx="166308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7488240" y="2190750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7488240" y="3543300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cxnSp macro="">
          <xdr:nvCxnSpPr>
            <xdr:cNvPr id="19" name="Straight Connector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CxnSpPr/>
          </xdr:nvCxnSpPr>
          <xdr:spPr>
            <a:xfrm rot="10800000" flipV="1">
              <a:off x="6874566" y="2276475"/>
              <a:ext cx="5369462" cy="812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CxnSpPr/>
          </xdr:nvCxnSpPr>
          <xdr:spPr>
            <a:xfrm rot="10800000" flipV="1">
              <a:off x="6858486" y="942975"/>
              <a:ext cx="5376038" cy="6656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" name="Straight Connector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CxnSpPr/>
          </xdr:nvCxnSpPr>
          <xdr:spPr>
            <a:xfrm rot="10800000" flipV="1">
              <a:off x="6887719" y="3619497"/>
              <a:ext cx="5389592" cy="1178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8167636" y="1428750"/>
              <a:ext cx="266047" cy="2762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IN" sz="1100"/>
                <a:t>C</a:t>
              </a:r>
            </a:p>
            <a:p>
              <a:endParaRPr lang="en-IN" sz="1100"/>
            </a:p>
            <a:p>
              <a:endParaRPr lang="en-IN" sz="1100"/>
            </a:p>
          </xdr:txBody>
        </xdr: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9922176" y="2775091"/>
              <a:ext cx="218540" cy="2762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IN" sz="1100"/>
                <a:t>I</a:t>
              </a:r>
            </a:p>
            <a:p>
              <a:endParaRPr lang="en-IN" sz="1100"/>
            </a:p>
            <a:p>
              <a:endParaRPr lang="en-IN" sz="1100"/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9820182" y="1414075"/>
              <a:ext cx="666829" cy="3468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IN" sz="1100"/>
                <a:t>E1</a:t>
              </a:r>
            </a:p>
            <a:p>
              <a:endParaRPr lang="en-IN" sz="1100"/>
            </a:p>
            <a:p>
              <a:endParaRPr lang="en-IN" sz="1100"/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8129630" y="2770595"/>
              <a:ext cx="701118" cy="25877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IN" sz="1100"/>
                <a:t>E2</a:t>
              </a:r>
            </a:p>
            <a:p>
              <a:endParaRPr lang="en-IN" sz="1100"/>
            </a:p>
            <a:p>
              <a:endParaRPr lang="en-IN" sz="1100"/>
            </a:p>
          </xdr:txBody>
        </xdr:sp>
      </xdr:grp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>
            <a:off x="5594074" y="761999"/>
            <a:ext cx="1285461" cy="828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CxnSpPr/>
        </xdr:nvCxnSpPr>
        <xdr:spPr>
          <a:xfrm>
            <a:off x="6874619" y="765305"/>
            <a:ext cx="1285460" cy="828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CxnSpPr/>
        </xdr:nvCxnSpPr>
        <xdr:spPr>
          <a:xfrm rot="5400000">
            <a:off x="4907562" y="1482907"/>
            <a:ext cx="952759" cy="1046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CxnSpPr/>
        </xdr:nvCxnSpPr>
        <xdr:spPr>
          <a:xfrm rot="5400000">
            <a:off x="4908154" y="2429396"/>
            <a:ext cx="952759" cy="1046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511037</xdr:colOff>
      <xdr:row>53</xdr:row>
      <xdr:rowOff>4377</xdr:rowOff>
    </xdr:from>
    <xdr:to>
      <xdr:col>10</xdr:col>
      <xdr:colOff>657225</xdr:colOff>
      <xdr:row>58</xdr:row>
      <xdr:rowOff>0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pSpPr/>
      </xdr:nvGrpSpPr>
      <xdr:grpSpPr>
        <a:xfrm>
          <a:off x="7431790" y="9991059"/>
          <a:ext cx="2261859" cy="990706"/>
          <a:chOff x="5232569" y="3460713"/>
          <a:chExt cx="1197912" cy="900134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5245034" y="3466324"/>
            <a:ext cx="1167849" cy="894523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721949" y="3856292"/>
            <a:ext cx="231668" cy="139964"/>
          </a:xfrm>
          <a:prstGeom prst="rect">
            <a:avLst/>
          </a:prstGeom>
        </xdr:spPr>
      </xdr:pic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 txBox="1"/>
        </xdr:nvSpPr>
        <xdr:spPr>
          <a:xfrm>
            <a:off x="5757550" y="3460713"/>
            <a:ext cx="203638" cy="135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2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5737731" y="4184029"/>
            <a:ext cx="203638" cy="131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4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6226843" y="3815477"/>
            <a:ext cx="203638" cy="1313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3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 txBox="1"/>
        </xdr:nvSpPr>
        <xdr:spPr>
          <a:xfrm>
            <a:off x="5232569" y="3828789"/>
            <a:ext cx="203638" cy="131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1</a:t>
            </a:r>
          </a:p>
        </xdr:txBody>
      </xdr:sp>
    </xdr:grpSp>
    <xdr:clientData/>
  </xdr:twoCellAnchor>
  <xdr:twoCellAnchor>
    <xdr:from>
      <xdr:col>8</xdr:col>
      <xdr:colOff>495300</xdr:colOff>
      <xdr:row>52</xdr:row>
      <xdr:rowOff>95250</xdr:rowOff>
    </xdr:from>
    <xdr:to>
      <xdr:col>10</xdr:col>
      <xdr:colOff>600075</xdr:colOff>
      <xdr:row>52</xdr:row>
      <xdr:rowOff>95252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CxnSpPr/>
      </xdr:nvCxnSpPr>
      <xdr:spPr>
        <a:xfrm flipV="1">
          <a:off x="7096125" y="9315450"/>
          <a:ext cx="2152650" cy="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304007</xdr:colOff>
      <xdr:row>52</xdr:row>
      <xdr:rowOff>180979</xdr:rowOff>
    </xdr:from>
    <xdr:to>
      <xdr:col>8</xdr:col>
      <xdr:colOff>304800</xdr:colOff>
      <xdr:row>58</xdr:row>
      <xdr:rowOff>0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rot="5400000">
          <a:off x="6161884" y="10144127"/>
          <a:ext cx="1486690" cy="79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197505</xdr:colOff>
      <xdr:row>97</xdr:row>
      <xdr:rowOff>4377</xdr:rowOff>
    </xdr:from>
    <xdr:to>
      <xdr:col>8</xdr:col>
      <xdr:colOff>143668</xdr:colOff>
      <xdr:row>105</xdr:row>
      <xdr:rowOff>3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pSpPr/>
      </xdr:nvGrpSpPr>
      <xdr:grpSpPr>
        <a:xfrm>
          <a:off x="5244634" y="18274448"/>
          <a:ext cx="1819787" cy="1429979"/>
          <a:chOff x="5232569" y="3460713"/>
          <a:chExt cx="1197912" cy="900134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5245034" y="3466324"/>
            <a:ext cx="1167849" cy="894523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 txBox="1"/>
        </xdr:nvSpPr>
        <xdr:spPr>
          <a:xfrm>
            <a:off x="5757550" y="3460713"/>
            <a:ext cx="203638" cy="135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2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5737731" y="4184029"/>
            <a:ext cx="203638" cy="131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4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 txBox="1"/>
        </xdr:nvSpPr>
        <xdr:spPr>
          <a:xfrm>
            <a:off x="6226843" y="3815477"/>
            <a:ext cx="203638" cy="1313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3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 txBox="1"/>
        </xdr:nvSpPr>
        <xdr:spPr>
          <a:xfrm>
            <a:off x="5232569" y="3828789"/>
            <a:ext cx="203638" cy="131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1</a:t>
            </a:r>
          </a:p>
        </xdr:txBody>
      </xdr:sp>
    </xdr:grpSp>
    <xdr:clientData/>
  </xdr:twoCellAnchor>
  <xdr:twoCellAnchor>
    <xdr:from>
      <xdr:col>6</xdr:col>
      <xdr:colOff>210343</xdr:colOff>
      <xdr:row>96</xdr:row>
      <xdr:rowOff>38100</xdr:rowOff>
    </xdr:from>
    <xdr:to>
      <xdr:col>8</xdr:col>
      <xdr:colOff>104775</xdr:colOff>
      <xdr:row>96</xdr:row>
      <xdr:rowOff>38102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/>
      </xdr:nvCxnSpPr>
      <xdr:spPr>
        <a:xfrm flipV="1">
          <a:off x="4991893" y="18459450"/>
          <a:ext cx="1713707" cy="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96</xdr:row>
      <xdr:rowOff>180980</xdr:rowOff>
    </xdr:from>
    <xdr:to>
      <xdr:col>6</xdr:col>
      <xdr:colOff>793</xdr:colOff>
      <xdr:row>104</xdr:row>
      <xdr:rowOff>143670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CxnSpPr/>
      </xdr:nvCxnSpPr>
      <xdr:spPr>
        <a:xfrm rot="5400000">
          <a:off x="4038602" y="19345278"/>
          <a:ext cx="1486690" cy="79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56057</xdr:colOff>
      <xdr:row>100</xdr:row>
      <xdr:rowOff>27570</xdr:rowOff>
    </xdr:from>
    <xdr:to>
      <xdr:col>7</xdr:col>
      <xdr:colOff>507687</xdr:colOff>
      <xdr:row>101</xdr:row>
      <xdr:rowOff>89766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/>
      </xdr:nvSpPr>
      <xdr:spPr>
        <a:xfrm>
          <a:off x="5666282" y="19210920"/>
          <a:ext cx="451630" cy="2526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E1</a:t>
          </a:r>
        </a:p>
        <a:p>
          <a:endParaRPr lang="en-IN" sz="1100"/>
        </a:p>
        <a:p>
          <a:endParaRPr lang="en-IN" sz="1100"/>
        </a:p>
      </xdr:txBody>
    </xdr:sp>
    <xdr:clientData/>
  </xdr:twoCellAnchor>
  <xdr:twoCellAnchor>
    <xdr:from>
      <xdr:col>10</xdr:col>
      <xdr:colOff>382989</xdr:colOff>
      <xdr:row>18</xdr:row>
      <xdr:rowOff>153341</xdr:rowOff>
    </xdr:from>
    <xdr:to>
      <xdr:col>10</xdr:col>
      <xdr:colOff>716364</xdr:colOff>
      <xdr:row>19</xdr:row>
      <xdr:rowOff>191441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9154363" y="3010841"/>
          <a:ext cx="333375" cy="236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c1</a:t>
          </a:r>
        </a:p>
      </xdr:txBody>
    </xdr:sp>
    <xdr:clientData/>
  </xdr:twoCellAnchor>
  <xdr:twoCellAnchor>
    <xdr:from>
      <xdr:col>7</xdr:col>
      <xdr:colOff>704850</xdr:colOff>
      <xdr:row>18</xdr:row>
      <xdr:rowOff>163808</xdr:rowOff>
    </xdr:from>
    <xdr:to>
      <xdr:col>8</xdr:col>
      <xdr:colOff>47625</xdr:colOff>
      <xdr:row>19</xdr:row>
      <xdr:rowOff>201908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6430317" y="3021308"/>
          <a:ext cx="337143" cy="236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c3</a:t>
          </a:r>
        </a:p>
        <a:p>
          <a:endParaRPr lang="en-IN" sz="1100"/>
        </a:p>
      </xdr:txBody>
    </xdr:sp>
    <xdr:clientData/>
  </xdr:twoCellAnchor>
  <xdr:twoCellAnchor>
    <xdr:from>
      <xdr:col>8</xdr:col>
      <xdr:colOff>1060833</xdr:colOff>
      <xdr:row>18</xdr:row>
      <xdr:rowOff>153341</xdr:rowOff>
    </xdr:from>
    <xdr:to>
      <xdr:col>9</xdr:col>
      <xdr:colOff>308358</xdr:colOff>
      <xdr:row>19</xdr:row>
      <xdr:rowOff>191441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7780668" y="3010841"/>
          <a:ext cx="336097" cy="236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c2</a:t>
          </a:r>
        </a:p>
      </xdr:txBody>
    </xdr:sp>
    <xdr:clientData/>
  </xdr:twoCellAnchor>
  <xdr:twoCellAnchor>
    <xdr:from>
      <xdr:col>10</xdr:col>
      <xdr:colOff>382047</xdr:colOff>
      <xdr:row>13</xdr:row>
      <xdr:rowOff>115241</xdr:rowOff>
    </xdr:from>
    <xdr:to>
      <xdr:col>10</xdr:col>
      <xdr:colOff>715422</xdr:colOff>
      <xdr:row>14</xdr:row>
      <xdr:rowOff>162866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9153421" y="2030708"/>
          <a:ext cx="333375" cy="236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c4</a:t>
          </a:r>
        </a:p>
      </xdr:txBody>
    </xdr:sp>
    <xdr:clientData/>
  </xdr:twoCellAnchor>
  <xdr:twoCellAnchor>
    <xdr:from>
      <xdr:col>7</xdr:col>
      <xdr:colOff>685800</xdr:colOff>
      <xdr:row>13</xdr:row>
      <xdr:rowOff>144758</xdr:rowOff>
    </xdr:from>
    <xdr:to>
      <xdr:col>8</xdr:col>
      <xdr:colOff>28575</xdr:colOff>
      <xdr:row>15</xdr:row>
      <xdr:rowOff>3977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6411267" y="2060225"/>
          <a:ext cx="337143" cy="236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c6</a:t>
          </a:r>
        </a:p>
      </xdr:txBody>
    </xdr:sp>
    <xdr:clientData/>
  </xdr:twoCellAnchor>
  <xdr:twoCellAnchor>
    <xdr:from>
      <xdr:col>8</xdr:col>
      <xdr:colOff>1080825</xdr:colOff>
      <xdr:row>13</xdr:row>
      <xdr:rowOff>115241</xdr:rowOff>
    </xdr:from>
    <xdr:to>
      <xdr:col>9</xdr:col>
      <xdr:colOff>328350</xdr:colOff>
      <xdr:row>14</xdr:row>
      <xdr:rowOff>162866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7800660" y="2030708"/>
          <a:ext cx="336097" cy="236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c5</a:t>
          </a:r>
        </a:p>
      </xdr:txBody>
    </xdr:sp>
    <xdr:clientData/>
  </xdr:twoCellAnchor>
  <xdr:twoCellAnchor>
    <xdr:from>
      <xdr:col>10</xdr:col>
      <xdr:colOff>369696</xdr:colOff>
      <xdr:row>8</xdr:row>
      <xdr:rowOff>133349</xdr:rowOff>
    </xdr:from>
    <xdr:to>
      <xdr:col>10</xdr:col>
      <xdr:colOff>703071</xdr:colOff>
      <xdr:row>9</xdr:row>
      <xdr:rowOff>180974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9141070" y="1106783"/>
          <a:ext cx="333375" cy="236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c7</a:t>
          </a:r>
        </a:p>
      </xdr:txBody>
    </xdr:sp>
    <xdr:clientData/>
  </xdr:twoCellAnchor>
  <xdr:twoCellAnchor>
    <xdr:from>
      <xdr:col>9</xdr:col>
      <xdr:colOff>836</xdr:colOff>
      <xdr:row>8</xdr:row>
      <xdr:rowOff>114299</xdr:rowOff>
    </xdr:from>
    <xdr:to>
      <xdr:col>9</xdr:col>
      <xdr:colOff>336933</xdr:colOff>
      <xdr:row>9</xdr:row>
      <xdr:rowOff>161924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7809243" y="1087733"/>
          <a:ext cx="336097" cy="236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c8</a:t>
          </a:r>
        </a:p>
      </xdr:txBody>
    </xdr:sp>
    <xdr:clientData/>
  </xdr:twoCellAnchor>
  <xdr:twoCellAnchor>
    <xdr:from>
      <xdr:col>11</xdr:col>
      <xdr:colOff>283947</xdr:colOff>
      <xdr:row>29</xdr:row>
      <xdr:rowOff>76142</xdr:rowOff>
    </xdr:from>
    <xdr:to>
      <xdr:col>15</xdr:col>
      <xdr:colOff>963968</xdr:colOff>
      <xdr:row>49</xdr:row>
      <xdr:rowOff>198782</xdr:rowOff>
    </xdr:to>
    <xdr:grpSp>
      <xdr:nvGrpSpPr>
        <xdr:cNvPr id="136" name="Group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10234771" y="5661154"/>
          <a:ext cx="4328656" cy="3772620"/>
          <a:chOff x="10553184" y="5134842"/>
          <a:chExt cx="4227620" cy="3593617"/>
        </a:xfrm>
      </xdr:grpSpPr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 rot="16200000" flipH="1">
            <a:off x="10688289" y="7983579"/>
            <a:ext cx="711155" cy="3710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Straight Connector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 rot="16200000" flipH="1">
            <a:off x="13344581" y="7976789"/>
            <a:ext cx="711155" cy="3710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698304" y="5661850"/>
            <a:ext cx="671727" cy="1132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Straight Connector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683460" y="7616276"/>
            <a:ext cx="671727" cy="1132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Straight Connector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705725" y="6635668"/>
            <a:ext cx="671727" cy="1132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Straight Connector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CxnSpPr/>
        </xdr:nvCxnSpPr>
        <xdr:spPr>
          <a:xfrm rot="16200000" flipH="1">
            <a:off x="12014746" y="7961918"/>
            <a:ext cx="711155" cy="6292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/>
        </xdr:nvSpPr>
        <xdr:spPr>
          <a:xfrm>
            <a:off x="11045670" y="5655060"/>
            <a:ext cx="1327940" cy="980607"/>
          </a:xfrm>
          <a:prstGeom prst="rect">
            <a:avLst/>
          </a:prstGeom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104" name="Rectangle 2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11045670" y="6635668"/>
            <a:ext cx="1327940" cy="980608"/>
          </a:xfrm>
          <a:prstGeom prst="rect">
            <a:avLst/>
          </a:prstGeom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105" name="Rectangle 3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/>
        </xdr:nvSpPr>
        <xdr:spPr>
          <a:xfrm>
            <a:off x="12373610" y="6635668"/>
            <a:ext cx="1327596" cy="980608"/>
          </a:xfrm>
          <a:prstGeom prst="rect">
            <a:avLst/>
          </a:prstGeom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106" name="Rectangle 4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/>
        </xdr:nvSpPr>
        <xdr:spPr>
          <a:xfrm>
            <a:off x="12373610" y="5655060"/>
            <a:ext cx="1327596" cy="980607"/>
          </a:xfrm>
          <a:prstGeom prst="rect">
            <a:avLst/>
          </a:prstGeom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CxnSpPr/>
        </xdr:nvCxnSpPr>
        <xdr:spPr>
          <a:xfrm rot="5400000">
            <a:off x="9255959" y="6924552"/>
            <a:ext cx="3580037" cy="617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CxnSpPr/>
        </xdr:nvCxnSpPr>
        <xdr:spPr>
          <a:xfrm rot="5400000">
            <a:off x="11928469" y="6955106"/>
            <a:ext cx="3546088" cy="617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CxnSpPr/>
        </xdr:nvCxnSpPr>
        <xdr:spPr>
          <a:xfrm rot="5400000">
            <a:off x="10587294" y="6941526"/>
            <a:ext cx="3573248" cy="617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/>
        </xdr:nvSpPr>
        <xdr:spPr>
          <a:xfrm>
            <a:off x="12240191" y="7430921"/>
            <a:ext cx="231913" cy="417790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rot="10800000" flipV="1">
            <a:off x="10567508" y="6628878"/>
            <a:ext cx="4187362" cy="579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 rot="10800000" flipV="1">
            <a:off x="10553184" y="5655060"/>
            <a:ext cx="4194281" cy="474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 rot="10800000" flipV="1">
            <a:off x="10577757" y="7609484"/>
            <a:ext cx="4203047" cy="840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TextBox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2514868" y="8036442"/>
            <a:ext cx="409142" cy="258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sB</a:t>
            </a:r>
          </a:p>
          <a:p>
            <a:endParaRPr lang="en-IN" sz="1100"/>
          </a:p>
          <a:p>
            <a:endParaRPr lang="en-IN" sz="1100"/>
          </a:p>
        </xdr:txBody>
      </xdr:sp>
      <xdr:sp macro="" textlink="">
        <xdr:nvSpPr>
          <xdr:cNvPr id="123" name="TextBox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SpPr txBox="1"/>
        </xdr:nvSpPr>
        <xdr:spPr>
          <a:xfrm>
            <a:off x="12801695" y="7218958"/>
            <a:ext cx="366247" cy="23219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sR</a:t>
            </a:r>
          </a:p>
          <a:p>
            <a:endParaRPr lang="en-IN" sz="1100"/>
          </a:p>
          <a:p>
            <a:endParaRPr lang="en-IN" sz="1100"/>
          </a:p>
        </xdr:txBody>
      </xdr:sp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SpPr txBox="1"/>
        </xdr:nvSpPr>
        <xdr:spPr>
          <a:xfrm>
            <a:off x="12489909" y="6987523"/>
            <a:ext cx="519579" cy="2518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sT</a:t>
            </a:r>
          </a:p>
          <a:p>
            <a:endParaRPr lang="en-IN" sz="1100"/>
          </a:p>
          <a:p>
            <a:endParaRPr lang="en-IN" sz="1100"/>
          </a:p>
          <a:p>
            <a:endParaRPr lang="en-IN" sz="1100"/>
          </a:p>
        </xdr:txBody>
      </xdr:sp>
      <xdr:sp macro="" textlink="">
        <xdr:nvSpPr>
          <xdr:cNvPr id="125" name="TextBox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SpPr txBox="1"/>
        </xdr:nvSpPr>
        <xdr:spPr>
          <a:xfrm>
            <a:off x="11533284" y="7204136"/>
            <a:ext cx="345827" cy="28185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sL</a:t>
            </a:r>
          </a:p>
          <a:p>
            <a:endParaRPr lang="en-IN" sz="1100"/>
          </a:p>
          <a:p>
            <a:endParaRPr lang="en-IN" sz="1100"/>
          </a:p>
        </xdr:txBody>
      </xdr: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11047285" y="7413881"/>
            <a:ext cx="1324212" cy="8264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12354813" y="7428795"/>
            <a:ext cx="1327590" cy="8264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Straight Arrow Connector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 rot="5400000">
            <a:off x="12065555" y="8127111"/>
            <a:ext cx="966359" cy="107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 rot="5400000">
            <a:off x="12050750" y="7130891"/>
            <a:ext cx="973962" cy="107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Straight Arrow Connector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CxnSpPr/>
        </xdr:nvCxnSpPr>
        <xdr:spPr>
          <a:xfrm rot="16200000" flipH="1">
            <a:off x="11966864" y="7641649"/>
            <a:ext cx="389283" cy="828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Arrow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V="1">
            <a:off x="12229623" y="7946207"/>
            <a:ext cx="247621" cy="913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2113729" y="7947462"/>
            <a:ext cx="615136" cy="258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bcoln</a:t>
            </a:r>
          </a:p>
          <a:p>
            <a:endParaRPr lang="en-IN" sz="1100"/>
          </a:p>
          <a:p>
            <a:endParaRPr lang="en-IN" sz="1100"/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11740610" y="7486844"/>
            <a:ext cx="574409" cy="258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dcoln</a:t>
            </a:r>
          </a:p>
          <a:p>
            <a:endParaRPr lang="en-IN" sz="1100"/>
          </a:p>
          <a:p>
            <a:endParaRPr lang="en-IN" sz="1100"/>
          </a:p>
        </xdr:txBody>
      </xdr:sp>
    </xdr:grpSp>
    <xdr:clientData/>
  </xdr:twoCellAnchor>
  <xdr:twoCellAnchor>
    <xdr:from>
      <xdr:col>5</xdr:col>
      <xdr:colOff>705177</xdr:colOff>
      <xdr:row>24</xdr:row>
      <xdr:rowOff>23206</xdr:rowOff>
    </xdr:from>
    <xdr:to>
      <xdr:col>6</xdr:col>
      <xdr:colOff>794</xdr:colOff>
      <xdr:row>29</xdr:row>
      <xdr:rowOff>34412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CxnSpPr/>
      </xdr:nvCxnSpPr>
      <xdr:spPr>
        <a:xfrm rot="5400000">
          <a:off x="4409515" y="4700868"/>
          <a:ext cx="974912" cy="158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236239</xdr:colOff>
      <xdr:row>2</xdr:row>
      <xdr:rowOff>170445</xdr:rowOff>
    </xdr:from>
    <xdr:to>
      <xdr:col>11</xdr:col>
      <xdr:colOff>800100</xdr:colOff>
      <xdr:row>21</xdr:row>
      <xdr:rowOff>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5981719" y="566685"/>
          <a:ext cx="4343381" cy="3510016"/>
          <a:chOff x="5116995" y="480392"/>
          <a:chExt cx="4095757" cy="3530918"/>
        </a:xfrm>
      </xdr:grpSpPr>
      <xdr:grpSp>
        <xdr:nvGrpSpPr>
          <xdr:cNvPr id="3" name="Group 5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5116556" y="480392"/>
            <a:ext cx="4095412" cy="3530916"/>
            <a:chOff x="6858486" y="219868"/>
            <a:chExt cx="5418825" cy="4942682"/>
          </a:xfrm>
        </xdr:grpSpPr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CxnSpPr/>
          </xdr:nvCxnSpPr>
          <xdr:spPr>
            <a:xfrm rot="16200000" flipH="1">
              <a:off x="7000151" y="4131469"/>
              <a:ext cx="971550" cy="4762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Straight Connector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CxnSpPr/>
          </xdr:nvCxnSpPr>
          <xdr:spPr>
            <a:xfrm rot="16200000" flipH="1">
              <a:off x="10407616" y="4121944"/>
              <a:ext cx="971550" cy="4762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CxnSpPr/>
          </xdr:nvCxnSpPr>
          <xdr:spPr>
            <a:xfrm>
              <a:off x="10891010" y="952500"/>
              <a:ext cx="859113" cy="1588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Straight Connector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CxnSpPr/>
          </xdr:nvCxnSpPr>
          <xdr:spPr>
            <a:xfrm>
              <a:off x="10871960" y="3629025"/>
              <a:ext cx="859113" cy="1588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" name="Straight Connector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CxnSpPr/>
          </xdr:nvCxnSpPr>
          <xdr:spPr>
            <a:xfrm>
              <a:off x="10900535" y="2286000"/>
              <a:ext cx="859113" cy="1588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" name="Straight Connector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CxnSpPr/>
          </xdr:nvCxnSpPr>
          <xdr:spPr>
            <a:xfrm rot="16200000" flipH="1">
              <a:off x="8703884" y="4101237"/>
              <a:ext cx="971550" cy="8075"/>
            </a:xfrm>
            <a:prstGeom prst="line">
              <a:avLst/>
            </a:prstGeom>
            <a:ln w="38100">
              <a:solidFill>
                <a:schemeClr val="accent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7488240" y="942975"/>
              <a:ext cx="1705636" cy="1343025"/>
            </a:xfrm>
            <a:prstGeom prst="rect">
              <a:avLst/>
            </a:prstGeom>
            <a:ln w="38100"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5" name="Rectangle 2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7488240" y="2286000"/>
              <a:ext cx="1705636" cy="1343025"/>
            </a:xfrm>
            <a:prstGeom prst="rect">
              <a:avLst/>
            </a:prstGeom>
            <a:ln w="38100"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6" name="Rectangle 3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9193876" y="2286000"/>
              <a:ext cx="1700858" cy="1343025"/>
            </a:xfrm>
            <a:prstGeom prst="rect">
              <a:avLst/>
            </a:prstGeom>
            <a:ln w="38100"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17" name="Rectangle 4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9193876" y="942975"/>
              <a:ext cx="1700858" cy="1343025"/>
            </a:xfrm>
            <a:prstGeom prst="rect">
              <a:avLst/>
            </a:prstGeom>
            <a:ln w="38100"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cxnSp macro="">
          <xdr:nvCxnSpPr>
            <xdr:cNvPr id="18" name="Straight Connector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CxnSpPr/>
          </xdr:nvCxnSpPr>
          <xdr:spPr>
            <a:xfrm rot="5400000">
              <a:off x="5026820" y="2681288"/>
              <a:ext cx="4923631" cy="79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" name="Straight Connector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CxnSpPr/>
          </xdr:nvCxnSpPr>
          <xdr:spPr>
            <a:xfrm rot="5400000">
              <a:off x="8457126" y="2724151"/>
              <a:ext cx="4876006" cy="79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" name="Straight Connector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CxnSpPr/>
          </xdr:nvCxnSpPr>
          <xdr:spPr>
            <a:xfrm rot="5400000">
              <a:off x="6737218" y="2705101"/>
              <a:ext cx="4914106" cy="79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/>
          </xdr:nvSpPr>
          <xdr:spPr>
            <a:xfrm>
              <a:off x="7478737" y="933450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/>
          </xdr:nvSpPr>
          <xdr:spPr>
            <a:xfrm>
              <a:off x="9103581" y="942975"/>
              <a:ext cx="166308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/>
          </xdr:nvSpPr>
          <xdr:spPr>
            <a:xfrm>
              <a:off x="10799717" y="942975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9103581" y="2200275"/>
              <a:ext cx="166308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10780712" y="2200275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10790215" y="3543300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/>
          </xdr:nvSpPr>
          <xdr:spPr>
            <a:xfrm>
              <a:off x="9103581" y="3543300"/>
              <a:ext cx="166308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7488240" y="2190750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/>
          </xdr:nvSpPr>
          <xdr:spPr>
            <a:xfrm>
              <a:off x="7488240" y="3543300"/>
              <a:ext cx="161529" cy="161925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CxnSpPr/>
          </xdr:nvCxnSpPr>
          <xdr:spPr>
            <a:xfrm rot="10800000" flipV="1">
              <a:off x="6874566" y="2276475"/>
              <a:ext cx="5369462" cy="8122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CxnSpPr/>
          </xdr:nvCxnSpPr>
          <xdr:spPr>
            <a:xfrm rot="10800000" flipV="1">
              <a:off x="6858486" y="942975"/>
              <a:ext cx="5376038" cy="6656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Straight Connector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CxnSpPr/>
          </xdr:nvCxnSpPr>
          <xdr:spPr>
            <a:xfrm rot="10800000" flipV="1">
              <a:off x="6887719" y="3619497"/>
              <a:ext cx="5389592" cy="1178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8167636" y="1428750"/>
              <a:ext cx="266047" cy="2762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IN" sz="1100"/>
                <a:t>C</a:t>
              </a:r>
            </a:p>
            <a:p>
              <a:endParaRPr lang="en-IN" sz="1100"/>
            </a:p>
            <a:p>
              <a:endParaRPr lang="en-IN" sz="1100"/>
            </a:p>
          </xdr:txBody>
        </xdr: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 txBox="1"/>
          </xdr:nvSpPr>
          <xdr:spPr>
            <a:xfrm>
              <a:off x="9922176" y="2775091"/>
              <a:ext cx="218540" cy="2762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IN" sz="1100"/>
                <a:t>I</a:t>
              </a:r>
            </a:p>
            <a:p>
              <a:endParaRPr lang="en-IN" sz="1100"/>
            </a:p>
            <a:p>
              <a:endParaRPr lang="en-IN" sz="1100"/>
            </a:p>
          </xdr:txBody>
        </xdr:sp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 txBox="1"/>
          </xdr:nvSpPr>
          <xdr:spPr>
            <a:xfrm>
              <a:off x="9820182" y="1414075"/>
              <a:ext cx="666829" cy="3468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IN" sz="1100"/>
                <a:t>E1</a:t>
              </a:r>
            </a:p>
            <a:p>
              <a:endParaRPr lang="en-IN" sz="1100"/>
            </a:p>
            <a:p>
              <a:endParaRPr lang="en-IN" sz="1100"/>
            </a:p>
          </xdr:txBody>
        </xdr:sp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SpPr txBox="1"/>
          </xdr:nvSpPr>
          <xdr:spPr>
            <a:xfrm>
              <a:off x="8129630" y="2770595"/>
              <a:ext cx="701118" cy="25877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IN" sz="1100"/>
                <a:t>E2</a:t>
              </a:r>
            </a:p>
            <a:p>
              <a:endParaRPr lang="en-IN" sz="1100"/>
            </a:p>
            <a:p>
              <a:endParaRPr lang="en-IN" sz="1100"/>
            </a:p>
          </xdr:txBody>
        </xdr:sp>
      </xdr:grp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CxnSpPr/>
        </xdr:nvCxnSpPr>
        <xdr:spPr>
          <a:xfrm>
            <a:off x="5594074" y="761999"/>
            <a:ext cx="1285461" cy="828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6874619" y="765305"/>
            <a:ext cx="1285460" cy="828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/>
        </xdr:nvCxnSpPr>
        <xdr:spPr>
          <a:xfrm rot="5400000">
            <a:off x="4907562" y="1482907"/>
            <a:ext cx="952759" cy="1046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 rot="5400000">
            <a:off x="4908154" y="2429396"/>
            <a:ext cx="952759" cy="1046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911087</xdr:colOff>
      <xdr:row>47</xdr:row>
      <xdr:rowOff>185352</xdr:rowOff>
    </xdr:from>
    <xdr:to>
      <xdr:col>10</xdr:col>
      <xdr:colOff>200025</xdr:colOff>
      <xdr:row>54</xdr:row>
      <xdr:rowOff>161928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6656567" y="9100752"/>
          <a:ext cx="2154058" cy="1348176"/>
          <a:chOff x="5232569" y="3460713"/>
          <a:chExt cx="1197912" cy="900134"/>
        </a:xfrm>
      </xdr:grpSpPr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5245034" y="3466324"/>
            <a:ext cx="1167849" cy="894523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721949" y="3856292"/>
            <a:ext cx="231668" cy="139964"/>
          </a:xfrm>
          <a:prstGeom prst="rect">
            <a:avLst/>
          </a:prstGeom>
        </xdr:spPr>
      </xdr:pic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 txBox="1"/>
        </xdr:nvSpPr>
        <xdr:spPr>
          <a:xfrm>
            <a:off x="5757550" y="3460713"/>
            <a:ext cx="203638" cy="135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2</a:t>
            </a:r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5737731" y="4184029"/>
            <a:ext cx="203638" cy="131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4</a:t>
            </a:r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 txBox="1"/>
        </xdr:nvSpPr>
        <xdr:spPr>
          <a:xfrm>
            <a:off x="6226843" y="3815477"/>
            <a:ext cx="203638" cy="1313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3</a:t>
            </a: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5232569" y="3828789"/>
            <a:ext cx="203638" cy="131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1</a:t>
            </a:r>
          </a:p>
        </xdr:txBody>
      </xdr:sp>
    </xdr:grpSp>
    <xdr:clientData/>
  </xdr:twoCellAnchor>
  <xdr:twoCellAnchor>
    <xdr:from>
      <xdr:col>8</xdr:col>
      <xdr:colOff>0</xdr:colOff>
      <xdr:row>47</xdr:row>
      <xdr:rowOff>76200</xdr:rowOff>
    </xdr:from>
    <xdr:to>
      <xdr:col>10</xdr:col>
      <xdr:colOff>123825</xdr:colOff>
      <xdr:row>47</xdr:row>
      <xdr:rowOff>95251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V="1">
          <a:off x="6591300" y="8886825"/>
          <a:ext cx="1914525" cy="1905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761207</xdr:colOff>
      <xdr:row>47</xdr:row>
      <xdr:rowOff>180980</xdr:rowOff>
    </xdr:from>
    <xdr:to>
      <xdr:col>7</xdr:col>
      <xdr:colOff>762000</xdr:colOff>
      <xdr:row>54</xdr:row>
      <xdr:rowOff>124620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 rot="5400000">
          <a:off x="5618959" y="9734553"/>
          <a:ext cx="1486690" cy="79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301487</xdr:colOff>
      <xdr:row>92</xdr:row>
      <xdr:rowOff>13902</xdr:rowOff>
    </xdr:from>
    <xdr:to>
      <xdr:col>12</xdr:col>
      <xdr:colOff>285750</xdr:colOff>
      <xdr:row>100</xdr:row>
      <xdr:rowOff>9528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8912087" y="17494182"/>
          <a:ext cx="1820683" cy="1458666"/>
          <a:chOff x="5232569" y="3460713"/>
          <a:chExt cx="1197912" cy="900134"/>
        </a:xfrm>
      </xdr:grpSpPr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5245034" y="3466324"/>
            <a:ext cx="1167849" cy="894523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 txBox="1"/>
        </xdr:nvSpPr>
        <xdr:spPr>
          <a:xfrm>
            <a:off x="5757550" y="3460713"/>
            <a:ext cx="203638" cy="135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2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 txBox="1"/>
        </xdr:nvSpPr>
        <xdr:spPr>
          <a:xfrm>
            <a:off x="5737731" y="4184029"/>
            <a:ext cx="203638" cy="131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4</a:t>
            </a:r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 txBox="1"/>
        </xdr:nvSpPr>
        <xdr:spPr>
          <a:xfrm>
            <a:off x="6226843" y="3815477"/>
            <a:ext cx="203638" cy="1313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3</a:t>
            </a:r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 txBox="1"/>
        </xdr:nvSpPr>
        <xdr:spPr>
          <a:xfrm>
            <a:off x="5232569" y="3828789"/>
            <a:ext cx="203638" cy="131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1</a:t>
            </a:r>
          </a:p>
        </xdr:txBody>
      </xdr:sp>
    </xdr:grpSp>
    <xdr:clientData/>
  </xdr:twoCellAnchor>
  <xdr:twoCellAnchor>
    <xdr:from>
      <xdr:col>10</xdr:col>
      <xdr:colOff>323850</xdr:colOff>
      <xdr:row>91</xdr:row>
      <xdr:rowOff>38100</xdr:rowOff>
    </xdr:from>
    <xdr:to>
      <xdr:col>12</xdr:col>
      <xdr:colOff>152400</xdr:colOff>
      <xdr:row>91</xdr:row>
      <xdr:rowOff>57151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 flipV="1">
          <a:off x="8410575" y="16725900"/>
          <a:ext cx="1609725" cy="1905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685801</xdr:colOff>
      <xdr:row>92</xdr:row>
      <xdr:rowOff>9529</xdr:rowOff>
    </xdr:from>
    <xdr:to>
      <xdr:col>10</xdr:col>
      <xdr:colOff>2</xdr:colOff>
      <xdr:row>99</xdr:row>
      <xdr:rowOff>180978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 rot="5400000">
          <a:off x="7620002" y="18573753"/>
          <a:ext cx="1504949" cy="1905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140989</xdr:colOff>
      <xdr:row>95</xdr:row>
      <xdr:rowOff>75195</xdr:rowOff>
    </xdr:from>
    <xdr:to>
      <xdr:col>11</xdr:col>
      <xdr:colOff>592619</xdr:colOff>
      <xdr:row>96</xdr:row>
      <xdr:rowOff>137391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9113539" y="17524995"/>
          <a:ext cx="451630" cy="2526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E1</a:t>
          </a:r>
        </a:p>
        <a:p>
          <a:endParaRPr lang="en-IN" sz="1100"/>
        </a:p>
        <a:p>
          <a:endParaRPr lang="en-IN" sz="1100"/>
        </a:p>
      </xdr:txBody>
    </xdr:sp>
    <xdr:clientData/>
  </xdr:twoCellAnchor>
  <xdr:twoCellAnchor>
    <xdr:from>
      <xdr:col>11</xdr:col>
      <xdr:colOff>702652</xdr:colOff>
      <xdr:row>25</xdr:row>
      <xdr:rowOff>128221</xdr:rowOff>
    </xdr:from>
    <xdr:to>
      <xdr:col>16</xdr:col>
      <xdr:colOff>332682</xdr:colOff>
      <xdr:row>46</xdr:row>
      <xdr:rowOff>68033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pSpPr/>
      </xdr:nvGrpSpPr>
      <xdr:grpSpPr>
        <a:xfrm>
          <a:off x="10227652" y="4966921"/>
          <a:ext cx="4346810" cy="3833632"/>
          <a:chOff x="10553184" y="5134842"/>
          <a:chExt cx="4227620" cy="3593617"/>
        </a:xfrm>
      </xdr:grpSpPr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CxnSpPr/>
        </xdr:nvCxnSpPr>
        <xdr:spPr>
          <a:xfrm rot="16200000" flipH="1">
            <a:off x="10688289" y="7983579"/>
            <a:ext cx="711155" cy="3710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CxnSpPr/>
        </xdr:nvCxnSpPr>
        <xdr:spPr>
          <a:xfrm rot="16200000" flipH="1">
            <a:off x="13344581" y="7976789"/>
            <a:ext cx="711155" cy="3710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Straight Connector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CxnSpPr/>
        </xdr:nvCxnSpPr>
        <xdr:spPr>
          <a:xfrm>
            <a:off x="13698304" y="5661850"/>
            <a:ext cx="671727" cy="1132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CxnSpPr/>
        </xdr:nvCxnSpPr>
        <xdr:spPr>
          <a:xfrm>
            <a:off x="13683460" y="7616276"/>
            <a:ext cx="671727" cy="1132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CxnSpPr/>
        </xdr:nvCxnSpPr>
        <xdr:spPr>
          <a:xfrm>
            <a:off x="13705725" y="6635668"/>
            <a:ext cx="671727" cy="1132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CxnSpPr/>
        </xdr:nvCxnSpPr>
        <xdr:spPr>
          <a:xfrm rot="16200000" flipH="1">
            <a:off x="12014746" y="7961918"/>
            <a:ext cx="711155" cy="6292"/>
          </a:xfrm>
          <a:prstGeom prst="line">
            <a:avLst/>
          </a:prstGeom>
          <a:ln w="38100">
            <a:solidFill>
              <a:schemeClr val="accent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1045670" y="5655060"/>
            <a:ext cx="1327940" cy="980607"/>
          </a:xfrm>
          <a:prstGeom prst="rect">
            <a:avLst/>
          </a:prstGeom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65" name="Rectangle 2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1045670" y="6635668"/>
            <a:ext cx="1327940" cy="980608"/>
          </a:xfrm>
          <a:prstGeom prst="rect">
            <a:avLst/>
          </a:prstGeom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66" name="Rectangle 3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2373610" y="6635668"/>
            <a:ext cx="1327596" cy="980608"/>
          </a:xfrm>
          <a:prstGeom prst="rect">
            <a:avLst/>
          </a:prstGeom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67" name="Rectangle 4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2373610" y="5655060"/>
            <a:ext cx="1327596" cy="980607"/>
          </a:xfrm>
          <a:prstGeom prst="rect">
            <a:avLst/>
          </a:prstGeom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cxnSp macro="">
        <xdr:nvCxnSpPr>
          <xdr:cNvPr id="68" name="Straight Connector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CxnSpPr/>
        </xdr:nvCxnSpPr>
        <xdr:spPr>
          <a:xfrm rot="5400000">
            <a:off x="9255959" y="6924552"/>
            <a:ext cx="3580037" cy="617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Straight Connector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CxnSpPr/>
        </xdr:nvCxnSpPr>
        <xdr:spPr>
          <a:xfrm rot="5400000">
            <a:off x="11928469" y="6955106"/>
            <a:ext cx="3546088" cy="617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CxnSpPr/>
        </xdr:nvCxnSpPr>
        <xdr:spPr>
          <a:xfrm rot="5400000">
            <a:off x="10587294" y="6941526"/>
            <a:ext cx="3573248" cy="617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Rectangle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2240191" y="7430921"/>
            <a:ext cx="231913" cy="417790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CxnSpPr/>
        </xdr:nvCxnSpPr>
        <xdr:spPr>
          <a:xfrm rot="10800000" flipV="1">
            <a:off x="10567508" y="6628878"/>
            <a:ext cx="4187362" cy="579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CxnSpPr/>
        </xdr:nvCxnSpPr>
        <xdr:spPr>
          <a:xfrm rot="10800000" flipV="1">
            <a:off x="10553184" y="5655060"/>
            <a:ext cx="4194281" cy="474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CxnSpPr/>
        </xdr:nvCxnSpPr>
        <xdr:spPr>
          <a:xfrm rot="10800000" flipV="1">
            <a:off x="10577757" y="7609484"/>
            <a:ext cx="4203047" cy="840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 txBox="1"/>
        </xdr:nvSpPr>
        <xdr:spPr>
          <a:xfrm>
            <a:off x="12514868" y="8036442"/>
            <a:ext cx="409142" cy="258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sB</a:t>
            </a:r>
          </a:p>
          <a:p>
            <a:endParaRPr lang="en-IN" sz="1100"/>
          </a:p>
          <a:p>
            <a:endParaRPr lang="en-IN" sz="1100"/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 txBox="1"/>
        </xdr:nvSpPr>
        <xdr:spPr>
          <a:xfrm>
            <a:off x="12801695" y="7218958"/>
            <a:ext cx="366247" cy="23219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sR</a:t>
            </a:r>
          </a:p>
          <a:p>
            <a:endParaRPr lang="en-IN" sz="1100"/>
          </a:p>
          <a:p>
            <a:endParaRPr lang="en-IN" sz="1100"/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 txBox="1"/>
        </xdr:nvSpPr>
        <xdr:spPr>
          <a:xfrm>
            <a:off x="12489909" y="6987523"/>
            <a:ext cx="519579" cy="2518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sT</a:t>
            </a:r>
          </a:p>
          <a:p>
            <a:endParaRPr lang="en-IN" sz="1100"/>
          </a:p>
          <a:p>
            <a:endParaRPr lang="en-IN" sz="1100"/>
          </a:p>
          <a:p>
            <a:endParaRPr lang="en-IN" sz="1100"/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 txBox="1"/>
        </xdr:nvSpPr>
        <xdr:spPr>
          <a:xfrm>
            <a:off x="11533284" y="7204136"/>
            <a:ext cx="345827" cy="28185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sL</a:t>
            </a:r>
          </a:p>
          <a:p>
            <a:endParaRPr lang="en-IN" sz="1100"/>
          </a:p>
          <a:p>
            <a:endParaRPr lang="en-IN" sz="1100"/>
          </a:p>
        </xdr:txBody>
      </xdr:sp>
      <xdr:cxnSp macro="">
        <xdr:nvCxnSpPr>
          <xdr:cNvPr id="79" name="Straight Arrow Connector 78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CxnSpPr/>
        </xdr:nvCxnSpPr>
        <xdr:spPr>
          <a:xfrm>
            <a:off x="11047285" y="7413881"/>
            <a:ext cx="1324212" cy="8264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CxnSpPr/>
        </xdr:nvCxnSpPr>
        <xdr:spPr>
          <a:xfrm>
            <a:off x="12354813" y="7428795"/>
            <a:ext cx="1327590" cy="8264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Arrow Connector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CxnSpPr/>
        </xdr:nvCxnSpPr>
        <xdr:spPr>
          <a:xfrm rot="5400000">
            <a:off x="12065555" y="8127111"/>
            <a:ext cx="966359" cy="107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CxnSpPr/>
        </xdr:nvCxnSpPr>
        <xdr:spPr>
          <a:xfrm rot="5400000">
            <a:off x="12050750" y="7130891"/>
            <a:ext cx="973962" cy="107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CxnSpPr/>
        </xdr:nvCxnSpPr>
        <xdr:spPr>
          <a:xfrm rot="16200000" flipH="1">
            <a:off x="11966864" y="7641649"/>
            <a:ext cx="389283" cy="8282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CxnSpPr/>
        </xdr:nvCxnSpPr>
        <xdr:spPr>
          <a:xfrm flipV="1">
            <a:off x="12229623" y="7946207"/>
            <a:ext cx="247621" cy="9138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 txBox="1"/>
        </xdr:nvSpPr>
        <xdr:spPr>
          <a:xfrm>
            <a:off x="12113729" y="7947462"/>
            <a:ext cx="615136" cy="258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bcoln</a:t>
            </a:r>
          </a:p>
          <a:p>
            <a:endParaRPr lang="en-IN" sz="1100"/>
          </a:p>
          <a:p>
            <a:endParaRPr lang="en-IN" sz="1100"/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 txBox="1"/>
        </xdr:nvSpPr>
        <xdr:spPr>
          <a:xfrm>
            <a:off x="11740610" y="7486844"/>
            <a:ext cx="574409" cy="258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IN" sz="1100"/>
              <a:t>dcoln</a:t>
            </a:r>
          </a:p>
          <a:p>
            <a:endParaRPr lang="en-IN" sz="1100"/>
          </a:p>
          <a:p>
            <a:endParaRPr lang="en-IN" sz="1100"/>
          </a:p>
        </xdr:txBody>
      </xdr:sp>
    </xdr:grpSp>
    <xdr:clientData/>
  </xdr:twoCellAnchor>
  <xdr:twoCellAnchor>
    <xdr:from>
      <xdr:col>10</xdr:col>
      <xdr:colOff>590858</xdr:colOff>
      <xdr:row>15</xdr:row>
      <xdr:rowOff>191442</xdr:rowOff>
    </xdr:from>
    <xdr:to>
      <xdr:col>11</xdr:col>
      <xdr:colOff>38408</xdr:colOff>
      <xdr:row>16</xdr:row>
      <xdr:rowOff>231223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/>
      </xdr:nvSpPr>
      <xdr:spPr>
        <a:xfrm>
          <a:off x="8972858" y="3077517"/>
          <a:ext cx="333375" cy="239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c1</a:t>
          </a:r>
        </a:p>
      </xdr:txBody>
    </xdr:sp>
    <xdr:clientData/>
  </xdr:twoCellAnchor>
  <xdr:twoCellAnchor>
    <xdr:from>
      <xdr:col>7</xdr:col>
      <xdr:colOff>657225</xdr:colOff>
      <xdr:row>16</xdr:row>
      <xdr:rowOff>1884</xdr:rowOff>
    </xdr:from>
    <xdr:to>
      <xdr:col>7</xdr:col>
      <xdr:colOff>986118</xdr:colOff>
      <xdr:row>16</xdr:row>
      <xdr:rowOff>241690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/>
      </xdr:nvSpPr>
      <xdr:spPr>
        <a:xfrm>
          <a:off x="6257925" y="3087984"/>
          <a:ext cx="328893" cy="239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c3</a:t>
          </a:r>
        </a:p>
        <a:p>
          <a:endParaRPr lang="en-IN" sz="1100"/>
        </a:p>
      </xdr:txBody>
    </xdr:sp>
    <xdr:clientData/>
  </xdr:twoCellAnchor>
  <xdr:twoCellAnchor>
    <xdr:from>
      <xdr:col>8</xdr:col>
      <xdr:colOff>1008726</xdr:colOff>
      <xdr:row>15</xdr:row>
      <xdr:rowOff>191442</xdr:rowOff>
    </xdr:from>
    <xdr:to>
      <xdr:col>9</xdr:col>
      <xdr:colOff>257371</xdr:colOff>
      <xdr:row>16</xdr:row>
      <xdr:rowOff>231223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/>
      </xdr:nvSpPr>
      <xdr:spPr>
        <a:xfrm>
          <a:off x="7600026" y="3077517"/>
          <a:ext cx="334495" cy="239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c2</a:t>
          </a:r>
        </a:p>
      </xdr:txBody>
    </xdr:sp>
    <xdr:clientData/>
  </xdr:twoCellAnchor>
  <xdr:twoCellAnchor>
    <xdr:from>
      <xdr:col>10</xdr:col>
      <xdr:colOff>589916</xdr:colOff>
      <xdr:row>10</xdr:row>
      <xdr:rowOff>153342</xdr:rowOff>
    </xdr:from>
    <xdr:to>
      <xdr:col>11</xdr:col>
      <xdr:colOff>37466</xdr:colOff>
      <xdr:row>12</xdr:row>
      <xdr:rowOff>10467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/>
      </xdr:nvSpPr>
      <xdr:spPr>
        <a:xfrm>
          <a:off x="8971916" y="2086917"/>
          <a:ext cx="3333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c4</a:t>
          </a:r>
        </a:p>
      </xdr:txBody>
    </xdr:sp>
    <xdr:clientData/>
  </xdr:twoCellAnchor>
  <xdr:twoCellAnchor>
    <xdr:from>
      <xdr:col>7</xdr:col>
      <xdr:colOff>638175</xdr:colOff>
      <xdr:row>10</xdr:row>
      <xdr:rowOff>182859</xdr:rowOff>
    </xdr:from>
    <xdr:to>
      <xdr:col>7</xdr:col>
      <xdr:colOff>967068</xdr:colOff>
      <xdr:row>12</xdr:row>
      <xdr:rowOff>42078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/>
      </xdr:nvSpPr>
      <xdr:spPr>
        <a:xfrm>
          <a:off x="6238875" y="2116434"/>
          <a:ext cx="328893" cy="240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c6</a:t>
          </a:r>
        </a:p>
      </xdr:txBody>
    </xdr:sp>
    <xdr:clientData/>
  </xdr:twoCellAnchor>
  <xdr:twoCellAnchor>
    <xdr:from>
      <xdr:col>10</xdr:col>
      <xdr:colOff>577565</xdr:colOff>
      <xdr:row>5</xdr:row>
      <xdr:rowOff>171450</xdr:rowOff>
    </xdr:from>
    <xdr:to>
      <xdr:col>11</xdr:col>
      <xdr:colOff>25115</xdr:colOff>
      <xdr:row>7</xdr:row>
      <xdr:rowOff>28575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/>
      </xdr:nvSpPr>
      <xdr:spPr>
        <a:xfrm>
          <a:off x="8959565" y="1152525"/>
          <a:ext cx="3333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c7</a:t>
          </a:r>
        </a:p>
      </xdr:txBody>
    </xdr:sp>
    <xdr:clientData/>
  </xdr:twoCellAnchor>
  <xdr:twoCellAnchor>
    <xdr:from>
      <xdr:col>8</xdr:col>
      <xdr:colOff>1035699</xdr:colOff>
      <xdr:row>5</xdr:row>
      <xdr:rowOff>152400</xdr:rowOff>
    </xdr:from>
    <xdr:to>
      <xdr:col>9</xdr:col>
      <xdr:colOff>285946</xdr:colOff>
      <xdr:row>7</xdr:row>
      <xdr:rowOff>9525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/>
      </xdr:nvSpPr>
      <xdr:spPr>
        <a:xfrm>
          <a:off x="7626999" y="1133475"/>
          <a:ext cx="336097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IN" sz="1100"/>
            <a:t>c8</a:t>
          </a:r>
        </a:p>
      </xdr:txBody>
    </xdr:sp>
    <xdr:clientData/>
  </xdr:twoCellAnchor>
  <xdr:twoCellAnchor>
    <xdr:from>
      <xdr:col>5</xdr:col>
      <xdr:colOff>695265</xdr:colOff>
      <xdr:row>21</xdr:row>
      <xdr:rowOff>8120</xdr:rowOff>
    </xdr:from>
    <xdr:to>
      <xdr:col>5</xdr:col>
      <xdr:colOff>696853</xdr:colOff>
      <xdr:row>26</xdr:row>
      <xdr:rowOff>132678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CxnSpPr/>
      </xdr:nvCxnSpPr>
      <xdr:spPr>
        <a:xfrm rot="5400000">
          <a:off x="4227635" y="4725865"/>
          <a:ext cx="1084385" cy="158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S144"/>
  <sheetViews>
    <sheetView zoomScale="85" zoomScaleNormal="85" workbookViewId="0">
      <selection activeCell="F4" sqref="F4"/>
    </sheetView>
  </sheetViews>
  <sheetFormatPr defaultRowHeight="14.4" x14ac:dyDescent="0.3"/>
  <cols>
    <col min="1" max="1" width="17" customWidth="1"/>
    <col min="2" max="2" width="9.109375" customWidth="1"/>
    <col min="3" max="3" width="11" customWidth="1"/>
    <col min="4" max="4" width="12.44140625" customWidth="1"/>
    <col min="5" max="5" width="13.44140625" customWidth="1"/>
    <col min="6" max="6" width="10.5546875" customWidth="1"/>
    <col min="7" max="7" width="12.44140625" customWidth="1"/>
    <col min="8" max="8" width="14.88671875" bestFit="1" customWidth="1"/>
    <col min="9" max="9" width="16.33203125" bestFit="1" customWidth="1"/>
    <col min="10" max="10" width="14.44140625" customWidth="1"/>
    <col min="11" max="11" width="13.33203125" customWidth="1"/>
    <col min="12" max="12" width="13.44140625" customWidth="1"/>
    <col min="13" max="13" width="12" bestFit="1" customWidth="1"/>
    <col min="14" max="14" width="12" customWidth="1"/>
    <col min="15" max="16" width="15.6640625" bestFit="1" customWidth="1"/>
    <col min="17" max="17" width="14.6640625" bestFit="1" customWidth="1"/>
    <col min="18" max="18" width="15.6640625" bestFit="1" customWidth="1"/>
  </cols>
  <sheetData>
    <row r="2" spans="1:19" ht="18" x14ac:dyDescent="0.35">
      <c r="A2" s="107" t="s">
        <v>142</v>
      </c>
    </row>
    <row r="4" spans="1:19" ht="15" thickBot="1" x14ac:dyDescent="0.35"/>
    <row r="5" spans="1:19" ht="16.2" thickBot="1" x14ac:dyDescent="0.35">
      <c r="A5" s="77" t="s">
        <v>0</v>
      </c>
      <c r="B5" s="78"/>
      <c r="C5" s="78"/>
      <c r="D5" s="78"/>
      <c r="E5" s="78"/>
      <c r="F5" s="79"/>
      <c r="S5" s="4" t="s">
        <v>46</v>
      </c>
    </row>
    <row r="6" spans="1:19" x14ac:dyDescent="0.3">
      <c r="A6" s="23" t="s">
        <v>4</v>
      </c>
      <c r="B6" s="23" t="s">
        <v>5</v>
      </c>
      <c r="C6" s="23" t="s">
        <v>6</v>
      </c>
      <c r="D6" s="23" t="s">
        <v>4</v>
      </c>
      <c r="E6" s="23" t="s">
        <v>5</v>
      </c>
      <c r="F6" s="23" t="s">
        <v>6</v>
      </c>
      <c r="I6" s="9"/>
      <c r="J6" s="17"/>
      <c r="K6" s="17"/>
      <c r="L6" s="17"/>
      <c r="M6" s="17"/>
      <c r="N6" s="17"/>
    </row>
    <row r="7" spans="1:19" x14ac:dyDescent="0.3">
      <c r="A7" s="21" t="s">
        <v>1</v>
      </c>
      <c r="B7" s="21">
        <v>18</v>
      </c>
      <c r="C7" s="21" t="s">
        <v>7</v>
      </c>
      <c r="D7" s="80" t="s">
        <v>23</v>
      </c>
      <c r="E7" s="81"/>
      <c r="F7" s="82"/>
      <c r="I7" s="42">
        <v>20</v>
      </c>
      <c r="J7" s="9">
        <v>24</v>
      </c>
      <c r="K7" s="9"/>
      <c r="L7" s="9"/>
      <c r="M7" s="9"/>
      <c r="N7" s="9"/>
    </row>
    <row r="8" spans="1:19" ht="15" x14ac:dyDescent="0.35">
      <c r="A8" s="21" t="s">
        <v>2</v>
      </c>
      <c r="B8" s="21">
        <v>22</v>
      </c>
      <c r="C8" s="21" t="s">
        <v>7</v>
      </c>
      <c r="D8" s="21" t="s">
        <v>83</v>
      </c>
      <c r="E8" s="21">
        <v>0</v>
      </c>
      <c r="F8" s="21" t="s">
        <v>10</v>
      </c>
      <c r="I8" s="9"/>
      <c r="J8" s="9"/>
      <c r="K8" s="9"/>
      <c r="L8" s="9"/>
      <c r="M8" s="9"/>
      <c r="N8" s="9"/>
    </row>
    <row r="9" spans="1:19" ht="15" x14ac:dyDescent="0.35">
      <c r="A9" s="21" t="s">
        <v>75</v>
      </c>
      <c r="B9" s="21">
        <v>60000</v>
      </c>
      <c r="C9" s="21" t="s">
        <v>8</v>
      </c>
      <c r="D9" s="21" t="s">
        <v>84</v>
      </c>
      <c r="E9" s="21">
        <v>0</v>
      </c>
      <c r="F9" s="22" t="s">
        <v>10</v>
      </c>
      <c r="I9" s="9"/>
    </row>
    <row r="10" spans="1:19" x14ac:dyDescent="0.3">
      <c r="A10" s="21" t="s">
        <v>3</v>
      </c>
      <c r="B10" s="21">
        <v>4000</v>
      </c>
      <c r="C10" s="21" t="s">
        <v>8</v>
      </c>
      <c r="D10" s="21" t="s">
        <v>24</v>
      </c>
      <c r="E10" s="21">
        <v>0</v>
      </c>
      <c r="F10" s="21" t="s">
        <v>10</v>
      </c>
    </row>
    <row r="11" spans="1:19" x14ac:dyDescent="0.3">
      <c r="A11" s="21" t="s">
        <v>9</v>
      </c>
      <c r="B11" s="21">
        <v>7</v>
      </c>
      <c r="C11" s="21" t="s">
        <v>10</v>
      </c>
      <c r="D11" s="5"/>
      <c r="E11" s="5"/>
      <c r="F11" s="5"/>
    </row>
    <row r="12" spans="1:19" ht="15" x14ac:dyDescent="0.35">
      <c r="A12" s="21" t="s">
        <v>80</v>
      </c>
      <c r="B12" s="21">
        <v>5.75</v>
      </c>
      <c r="C12" s="21" t="s">
        <v>10</v>
      </c>
      <c r="D12" s="5"/>
      <c r="E12" s="5"/>
      <c r="F12" s="5"/>
      <c r="H12" s="28">
        <v>20</v>
      </c>
    </row>
    <row r="13" spans="1:19" ht="15" x14ac:dyDescent="0.35">
      <c r="A13" s="21" t="s">
        <v>81</v>
      </c>
      <c r="B13" s="21">
        <v>3600000</v>
      </c>
      <c r="C13" s="21" t="s">
        <v>8</v>
      </c>
      <c r="D13" s="20"/>
      <c r="E13" s="5"/>
      <c r="F13" s="10"/>
    </row>
    <row r="14" spans="1:19" ht="15" x14ac:dyDescent="0.35">
      <c r="A14" s="21" t="s">
        <v>82</v>
      </c>
      <c r="B14" s="21">
        <v>3600000</v>
      </c>
      <c r="C14" s="21" t="s">
        <v>8</v>
      </c>
      <c r="D14" s="5"/>
      <c r="E14" s="5"/>
      <c r="F14" s="10"/>
    </row>
    <row r="15" spans="1:19" x14ac:dyDescent="0.3">
      <c r="A15" s="21" t="s">
        <v>13</v>
      </c>
      <c r="B15" s="21">
        <v>1</v>
      </c>
      <c r="C15" s="21"/>
      <c r="D15" s="5"/>
      <c r="E15" s="5"/>
      <c r="F15" s="10"/>
    </row>
    <row r="16" spans="1:19" x14ac:dyDescent="0.3">
      <c r="A16" s="21" t="s">
        <v>14</v>
      </c>
      <c r="B16" s="21">
        <v>0.75</v>
      </c>
      <c r="C16" s="21"/>
      <c r="D16" s="5"/>
      <c r="E16" s="5"/>
      <c r="F16" s="5"/>
    </row>
    <row r="17" spans="1:13" x14ac:dyDescent="0.3">
      <c r="A17" s="83" t="s">
        <v>11</v>
      </c>
      <c r="B17" s="83"/>
      <c r="C17" s="83"/>
      <c r="D17" s="5"/>
      <c r="E17" s="10"/>
      <c r="F17" s="5"/>
      <c r="H17" s="28">
        <v>24</v>
      </c>
    </row>
    <row r="18" spans="1:13" ht="15" x14ac:dyDescent="0.35">
      <c r="A18" s="21" t="s">
        <v>85</v>
      </c>
      <c r="B18" s="21">
        <v>21</v>
      </c>
      <c r="C18" s="21" t="s">
        <v>10</v>
      </c>
      <c r="D18" s="5"/>
      <c r="E18" s="5"/>
      <c r="F18" s="5"/>
    </row>
    <row r="19" spans="1:13" ht="15.6" thickBot="1" x14ac:dyDescent="0.4">
      <c r="A19" s="24" t="s">
        <v>86</v>
      </c>
      <c r="B19" s="24">
        <v>24</v>
      </c>
      <c r="C19" s="24" t="s">
        <v>10</v>
      </c>
      <c r="D19" s="25"/>
      <c r="E19" s="25"/>
      <c r="F19" s="25"/>
      <c r="M19" t="s">
        <v>124</v>
      </c>
    </row>
    <row r="20" spans="1:13" ht="18.600000000000001" thickBot="1" x14ac:dyDescent="0.45">
      <c r="A20" s="77" t="s">
        <v>79</v>
      </c>
      <c r="B20" s="78"/>
      <c r="C20" s="78"/>
      <c r="D20" s="78"/>
      <c r="E20" s="78"/>
      <c r="F20" s="79"/>
    </row>
    <row r="21" spans="1:13" ht="15.6" x14ac:dyDescent="0.35">
      <c r="A21" s="26" t="s">
        <v>22</v>
      </c>
      <c r="B21" s="26">
        <f>ibinterior(E8,E9,E10)</f>
        <v>0</v>
      </c>
      <c r="C21" s="26" t="s">
        <v>87</v>
      </c>
      <c r="D21" s="19"/>
      <c r="E21" s="19"/>
      <c r="F21" s="19"/>
    </row>
    <row r="22" spans="1:13" ht="15.6" x14ac:dyDescent="0.35">
      <c r="A22" s="21" t="s">
        <v>88</v>
      </c>
      <c r="B22" s="21">
        <f>ibexterior(E8,E9,E10)</f>
        <v>0</v>
      </c>
      <c r="C22" s="21" t="s">
        <v>87</v>
      </c>
      <c r="D22" s="5"/>
      <c r="E22" s="5"/>
      <c r="F22" s="5"/>
    </row>
    <row r="23" spans="1:13" ht="15" thickBot="1" x14ac:dyDescent="0.35">
      <c r="A23" s="18"/>
      <c r="B23" s="18"/>
      <c r="C23" s="18"/>
      <c r="D23" s="9"/>
      <c r="E23" s="9"/>
      <c r="F23" s="9"/>
    </row>
    <row r="24" spans="1:13" ht="18.600000000000001" thickBot="1" x14ac:dyDescent="0.45">
      <c r="A24" s="85" t="s">
        <v>55</v>
      </c>
      <c r="B24" s="86"/>
      <c r="C24" s="86"/>
      <c r="D24" s="87"/>
      <c r="G24" s="41"/>
      <c r="H24" s="41"/>
    </row>
    <row r="25" spans="1:13" x14ac:dyDescent="0.3">
      <c r="B25" s="3" t="s">
        <v>15</v>
      </c>
      <c r="G25" s="41"/>
      <c r="H25" s="3" t="s">
        <v>137</v>
      </c>
    </row>
    <row r="26" spans="1:13" ht="15.6" x14ac:dyDescent="0.35">
      <c r="B26" s="1" t="s">
        <v>20</v>
      </c>
      <c r="E26" s="2"/>
      <c r="G26" s="41"/>
      <c r="H26" s="41" t="s">
        <v>139</v>
      </c>
    </row>
    <row r="27" spans="1:13" ht="16.8" x14ac:dyDescent="0.35">
      <c r="B27" s="1" t="s">
        <v>17</v>
      </c>
      <c r="G27" s="41"/>
      <c r="H27" s="41" t="s">
        <v>140</v>
      </c>
    </row>
    <row r="28" spans="1:13" ht="15.6" x14ac:dyDescent="0.35">
      <c r="B28" s="1" t="s">
        <v>16</v>
      </c>
      <c r="G28" s="6"/>
      <c r="H28" s="41" t="s">
        <v>141</v>
      </c>
    </row>
    <row r="29" spans="1:13" x14ac:dyDescent="0.3">
      <c r="B29" s="1"/>
      <c r="G29" s="6"/>
    </row>
    <row r="30" spans="1:13" x14ac:dyDescent="0.3">
      <c r="B30" s="1"/>
      <c r="G30" s="6"/>
      <c r="H30" s="1"/>
    </row>
    <row r="32" spans="1:13" ht="17.25" customHeight="1" x14ac:dyDescent="0.3">
      <c r="A32" s="49" t="s">
        <v>125</v>
      </c>
      <c r="B32" s="49"/>
      <c r="C32" s="50" t="s">
        <v>114</v>
      </c>
      <c r="D32" s="50" t="s">
        <v>115</v>
      </c>
      <c r="E32" s="50" t="s">
        <v>112</v>
      </c>
      <c r="F32" s="50" t="s">
        <v>113</v>
      </c>
      <c r="G32" s="50" t="s">
        <v>116</v>
      </c>
      <c r="H32" s="50" t="s">
        <v>117</v>
      </c>
      <c r="I32" s="48" t="s">
        <v>123</v>
      </c>
      <c r="J32" s="48" t="s">
        <v>122</v>
      </c>
    </row>
    <row r="33" spans="1:14" x14ac:dyDescent="0.3">
      <c r="A33" s="30" t="s">
        <v>120</v>
      </c>
      <c r="B33" s="34" t="s">
        <v>121</v>
      </c>
      <c r="C33" s="50"/>
      <c r="D33" s="50"/>
      <c r="E33" s="50"/>
      <c r="F33" s="50"/>
      <c r="G33" s="50"/>
      <c r="H33" s="50"/>
      <c r="I33" s="48"/>
      <c r="J33" s="48"/>
    </row>
    <row r="34" spans="1:14" x14ac:dyDescent="0.3">
      <c r="A34" s="34" t="s">
        <v>104</v>
      </c>
      <c r="B34" s="30" t="s">
        <v>119</v>
      </c>
      <c r="C34" s="30">
        <f>$B$18</f>
        <v>21</v>
      </c>
      <c r="D34" s="30">
        <f>$B$19</f>
        <v>24</v>
      </c>
      <c r="E34" s="30">
        <v>22</v>
      </c>
      <c r="F34" s="30">
        <v>22</v>
      </c>
      <c r="G34" s="30">
        <v>22</v>
      </c>
      <c r="H34" s="30">
        <v>22</v>
      </c>
      <c r="I34" s="30">
        <f>ROUND((144*(quoneway(E34,F34,G34,H34,$B$12,C34,D34,$B$16,$B$15,$B$10))/1000),3)</f>
        <v>0.67900000000000005</v>
      </c>
      <c r="J34" s="30">
        <f>ROUND(qutwoway(E34,F34,G34,H34,$B$12,C34,D34,$B$16,$B$15,$B$10,B34)*144/1000,3)</f>
        <v>0.25800000000000001</v>
      </c>
    </row>
    <row r="35" spans="1:14" x14ac:dyDescent="0.3">
      <c r="A35" s="34" t="s">
        <v>105</v>
      </c>
      <c r="B35" s="30" t="s">
        <v>119</v>
      </c>
      <c r="C35" s="30">
        <f t="shared" ref="C35:C41" si="0">$B$18</f>
        <v>21</v>
      </c>
      <c r="D35" s="30">
        <f t="shared" ref="D35:D41" si="1">$B$19</f>
        <v>24</v>
      </c>
      <c r="E35" s="30">
        <v>18</v>
      </c>
      <c r="F35" s="30">
        <v>22</v>
      </c>
      <c r="G35" s="30">
        <v>22</v>
      </c>
      <c r="H35" s="30">
        <v>22</v>
      </c>
      <c r="I35" s="30">
        <f t="shared" ref="I35:I41" si="2">ROUND((144*(quoneway(E35,F35,G35,H35,$B$12,C35,D35,$B$16,$B$15,$B$10))/1000),3)</f>
        <v>0.67900000000000005</v>
      </c>
      <c r="J35" s="30">
        <f t="shared" ref="J35:J41" si="3">ROUND(qutwoway(E35,F35,G35,H35,$B$12,C35,D35,$B$16,$B$15,$B$10,B35)*144/1000,3)</f>
        <v>0.28399999999999997</v>
      </c>
    </row>
    <row r="36" spans="1:14" x14ac:dyDescent="0.3">
      <c r="A36" s="34" t="s">
        <v>106</v>
      </c>
      <c r="B36" s="30" t="s">
        <v>118</v>
      </c>
      <c r="C36" s="30">
        <f t="shared" si="0"/>
        <v>21</v>
      </c>
      <c r="D36" s="30">
        <f t="shared" si="1"/>
        <v>24</v>
      </c>
      <c r="E36" s="30">
        <v>0</v>
      </c>
      <c r="F36" s="30">
        <v>18</v>
      </c>
      <c r="G36" s="30">
        <v>22</v>
      </c>
      <c r="H36" s="30">
        <v>22</v>
      </c>
      <c r="I36" s="30">
        <f t="shared" si="2"/>
        <v>0.68799999999999994</v>
      </c>
      <c r="J36" s="30">
        <f t="shared" si="3"/>
        <v>0.497</v>
      </c>
    </row>
    <row r="37" spans="1:14" x14ac:dyDescent="0.3">
      <c r="A37" s="34" t="s">
        <v>107</v>
      </c>
      <c r="B37" s="30" t="s">
        <v>118</v>
      </c>
      <c r="C37" s="30">
        <f t="shared" si="0"/>
        <v>21</v>
      </c>
      <c r="D37" s="30">
        <f t="shared" si="1"/>
        <v>24</v>
      </c>
      <c r="E37" s="30">
        <v>22</v>
      </c>
      <c r="F37" s="30">
        <v>22</v>
      </c>
      <c r="G37" s="30">
        <v>18</v>
      </c>
      <c r="H37" s="30">
        <v>22</v>
      </c>
      <c r="I37" s="30">
        <f t="shared" si="2"/>
        <v>0.68799999999999994</v>
      </c>
      <c r="J37" s="30">
        <f t="shared" si="3"/>
        <v>0.25</v>
      </c>
    </row>
    <row r="38" spans="1:14" x14ac:dyDescent="0.3">
      <c r="A38" s="34" t="s">
        <v>108</v>
      </c>
      <c r="B38" s="30" t="s">
        <v>119</v>
      </c>
      <c r="C38" s="30">
        <f t="shared" si="0"/>
        <v>21</v>
      </c>
      <c r="D38" s="30">
        <f t="shared" si="1"/>
        <v>24</v>
      </c>
      <c r="E38" s="30">
        <v>18</v>
      </c>
      <c r="F38" s="30">
        <v>22</v>
      </c>
      <c r="G38" s="30">
        <v>18</v>
      </c>
      <c r="H38" s="30">
        <v>22</v>
      </c>
      <c r="I38" s="30">
        <f t="shared" si="2"/>
        <v>0.67900000000000005</v>
      </c>
      <c r="J38" s="30">
        <f t="shared" si="3"/>
        <v>0.313</v>
      </c>
    </row>
    <row r="39" spans="1:14" x14ac:dyDescent="0.3">
      <c r="A39" s="34" t="s">
        <v>109</v>
      </c>
      <c r="B39" s="30" t="s">
        <v>119</v>
      </c>
      <c r="C39" s="30">
        <f t="shared" si="0"/>
        <v>21</v>
      </c>
      <c r="D39" s="30">
        <f t="shared" si="1"/>
        <v>24</v>
      </c>
      <c r="E39" s="30">
        <v>0</v>
      </c>
      <c r="F39" s="30">
        <v>18</v>
      </c>
      <c r="G39" s="30">
        <v>18</v>
      </c>
      <c r="H39" s="30">
        <v>22</v>
      </c>
      <c r="I39" s="30">
        <f t="shared" si="2"/>
        <v>0.68799999999999994</v>
      </c>
      <c r="J39" s="30">
        <f t="shared" si="3"/>
        <v>0.60799999999999998</v>
      </c>
    </row>
    <row r="40" spans="1:14" x14ac:dyDescent="0.3">
      <c r="A40" s="34" t="s">
        <v>110</v>
      </c>
      <c r="B40" s="30" t="s">
        <v>118</v>
      </c>
      <c r="C40" s="30">
        <f t="shared" si="0"/>
        <v>21</v>
      </c>
      <c r="D40" s="30">
        <f t="shared" si="1"/>
        <v>24</v>
      </c>
      <c r="E40" s="30">
        <v>22</v>
      </c>
      <c r="F40" s="30">
        <v>22</v>
      </c>
      <c r="G40" s="30">
        <v>0</v>
      </c>
      <c r="H40" s="30">
        <v>18</v>
      </c>
      <c r="I40" s="30">
        <f t="shared" si="2"/>
        <v>0.87</v>
      </c>
      <c r="J40" s="30">
        <f t="shared" si="3"/>
        <v>0.49099999999999999</v>
      </c>
    </row>
    <row r="41" spans="1:14" x14ac:dyDescent="0.3">
      <c r="A41" s="34" t="s">
        <v>111</v>
      </c>
      <c r="B41" s="30" t="s">
        <v>118</v>
      </c>
      <c r="C41" s="30">
        <f t="shared" si="0"/>
        <v>21</v>
      </c>
      <c r="D41" s="30">
        <f t="shared" si="1"/>
        <v>24</v>
      </c>
      <c r="E41" s="30">
        <v>18</v>
      </c>
      <c r="F41" s="34">
        <v>22</v>
      </c>
      <c r="G41" s="30">
        <v>0</v>
      </c>
      <c r="H41" s="30">
        <v>18</v>
      </c>
      <c r="I41" s="30">
        <f t="shared" si="2"/>
        <v>0.87</v>
      </c>
      <c r="J41" s="30">
        <f t="shared" si="3"/>
        <v>0.54100000000000004</v>
      </c>
    </row>
    <row r="42" spans="1:14" x14ac:dyDescent="0.3">
      <c r="B42" s="1"/>
    </row>
    <row r="43" spans="1:14" x14ac:dyDescent="0.3">
      <c r="B43" s="1"/>
    </row>
    <row r="44" spans="1:14" x14ac:dyDescent="0.3">
      <c r="B44" s="1"/>
    </row>
    <row r="48" spans="1:14" ht="15" thickBot="1" x14ac:dyDescent="0.35">
      <c r="N48" s="4"/>
    </row>
    <row r="49" spans="1:17" ht="16.2" thickBot="1" x14ac:dyDescent="0.35">
      <c r="A49" s="11" t="s">
        <v>18</v>
      </c>
      <c r="B49" s="12"/>
      <c r="C49" s="12"/>
      <c r="D49" s="13"/>
    </row>
    <row r="50" spans="1:17" ht="15" thickBot="1" x14ac:dyDescent="0.35">
      <c r="A50" s="91" t="s">
        <v>12</v>
      </c>
      <c r="B50" s="92"/>
      <c r="C50" s="92"/>
      <c r="D50" s="93"/>
    </row>
    <row r="51" spans="1:17" ht="15.6" x14ac:dyDescent="0.35">
      <c r="B51" s="1" t="s">
        <v>19</v>
      </c>
      <c r="E51" s="1">
        <f>MIN(I34:J41)*0.9</f>
        <v>0.22500000000000001</v>
      </c>
      <c r="F51" s="1" t="s">
        <v>70</v>
      </c>
    </row>
    <row r="52" spans="1:17" x14ac:dyDescent="0.3">
      <c r="A52" s="6"/>
      <c r="J52" s="32">
        <v>24</v>
      </c>
    </row>
    <row r="53" spans="1:17" x14ac:dyDescent="0.3">
      <c r="B53" s="3" t="s">
        <v>21</v>
      </c>
    </row>
    <row r="54" spans="1:17" ht="15.6" x14ac:dyDescent="0.35">
      <c r="B54" s="2" t="s">
        <v>25</v>
      </c>
    </row>
    <row r="55" spans="1:17" ht="15.6" x14ac:dyDescent="0.35">
      <c r="B55" s="2" t="s">
        <v>26</v>
      </c>
      <c r="E55" s="6"/>
    </row>
    <row r="56" spans="1:17" ht="15.6" x14ac:dyDescent="0.35">
      <c r="B56" s="2" t="s">
        <v>27</v>
      </c>
      <c r="I56" s="28">
        <v>24</v>
      </c>
    </row>
    <row r="57" spans="1:17" ht="15.6" x14ac:dyDescent="0.35">
      <c r="B57" s="2" t="s">
        <v>28</v>
      </c>
    </row>
    <row r="58" spans="1:17" ht="16.2" thickBot="1" x14ac:dyDescent="0.4">
      <c r="B58" s="2" t="s">
        <v>29</v>
      </c>
      <c r="E58">
        <f>ROUND(alphafmint(B7,B8,B11,B21,B22,B13,B14),2)</f>
        <v>0</v>
      </c>
      <c r="H58" s="6"/>
    </row>
    <row r="59" spans="1:17" ht="15" thickBot="1" x14ac:dyDescent="0.35">
      <c r="B59" t="s">
        <v>44</v>
      </c>
      <c r="D59" s="75" t="s">
        <v>94</v>
      </c>
      <c r="E59" s="76"/>
      <c r="L59" s="9"/>
      <c r="M59" s="9"/>
      <c r="N59" s="9"/>
    </row>
    <row r="60" spans="1:17" x14ac:dyDescent="0.3">
      <c r="B60" t="s">
        <v>93</v>
      </c>
      <c r="E60">
        <f>cvalue(E8,E9,B11,B18,D59)</f>
        <v>1935.5000000000002</v>
      </c>
      <c r="L60" s="9"/>
      <c r="M60" s="9"/>
      <c r="N60" s="9"/>
    </row>
    <row r="61" spans="1:17" x14ac:dyDescent="0.3">
      <c r="L61" s="9"/>
      <c r="M61" s="9"/>
      <c r="N61" s="9"/>
    </row>
    <row r="62" spans="1:17" ht="15.6" x14ac:dyDescent="0.3">
      <c r="B62" s="14" t="s">
        <v>30</v>
      </c>
      <c r="C62" s="14"/>
      <c r="D62" s="14"/>
      <c r="L62" s="9"/>
      <c r="M62" s="9"/>
      <c r="N62" s="9"/>
    </row>
    <row r="63" spans="1:17" ht="30" customHeight="1" x14ac:dyDescent="0.3">
      <c r="B63" s="61"/>
      <c r="C63" s="88" t="s">
        <v>36</v>
      </c>
      <c r="D63" s="89"/>
      <c r="E63" s="50" t="s">
        <v>126</v>
      </c>
      <c r="F63" s="50"/>
      <c r="G63" s="50"/>
      <c r="H63" s="50"/>
      <c r="I63" s="50"/>
      <c r="J63" s="50" t="s">
        <v>73</v>
      </c>
      <c r="K63" s="50"/>
      <c r="L63" s="50"/>
      <c r="M63" s="69" t="s">
        <v>33</v>
      </c>
      <c r="N63" s="69"/>
      <c r="O63" s="69" t="s">
        <v>129</v>
      </c>
      <c r="P63" s="69" t="s">
        <v>130</v>
      </c>
      <c r="Q63" s="69" t="s">
        <v>131</v>
      </c>
    </row>
    <row r="64" spans="1:17" ht="15" customHeight="1" x14ac:dyDescent="0.3">
      <c r="B64" s="62"/>
      <c r="C64" s="50" t="s">
        <v>31</v>
      </c>
      <c r="D64" s="70" t="s">
        <v>37</v>
      </c>
      <c r="E64" s="50" t="s">
        <v>34</v>
      </c>
      <c r="F64" s="50"/>
      <c r="G64" s="66" t="s">
        <v>48</v>
      </c>
      <c r="H64" s="66" t="s">
        <v>49</v>
      </c>
      <c r="I64" s="50" t="s">
        <v>47</v>
      </c>
      <c r="J64" s="50" t="s">
        <v>5</v>
      </c>
      <c r="K64" s="50" t="s">
        <v>50</v>
      </c>
      <c r="L64" s="50"/>
      <c r="M64" s="69" t="s">
        <v>51</v>
      </c>
      <c r="N64" s="69" t="s">
        <v>127</v>
      </c>
      <c r="O64" s="50"/>
      <c r="P64" s="50"/>
      <c r="Q64" s="69"/>
    </row>
    <row r="65" spans="1:17" x14ac:dyDescent="0.3">
      <c r="B65" s="63"/>
      <c r="C65" s="50"/>
      <c r="D65" s="84"/>
      <c r="E65" s="31" t="s">
        <v>1</v>
      </c>
      <c r="F65" s="31" t="s">
        <v>2</v>
      </c>
      <c r="G65" s="68"/>
      <c r="H65" s="68"/>
      <c r="I65" s="50"/>
      <c r="J65" s="50"/>
      <c r="K65" s="50"/>
      <c r="L65" s="50"/>
      <c r="M65" s="69"/>
      <c r="N65" s="50"/>
      <c r="O65" s="50"/>
      <c r="P65" s="50"/>
      <c r="Q65" s="69"/>
    </row>
    <row r="66" spans="1:17" x14ac:dyDescent="0.3">
      <c r="B66" s="50" t="s">
        <v>40</v>
      </c>
      <c r="C66" s="69" t="s">
        <v>38</v>
      </c>
      <c r="D66" s="66" t="s">
        <v>32</v>
      </c>
      <c r="E66" s="50">
        <v>22</v>
      </c>
      <c r="F66" s="50">
        <v>22</v>
      </c>
      <c r="G66" s="50">
        <v>18</v>
      </c>
      <c r="H66" s="50">
        <v>22</v>
      </c>
      <c r="I66" s="50">
        <f>(G66+H66)/2</f>
        <v>20</v>
      </c>
      <c r="J66" s="57">
        <f>(E51*I66*(E66-B19/12)^2)/8</f>
        <v>225</v>
      </c>
      <c r="K66" s="31" t="s">
        <v>62</v>
      </c>
      <c r="L66" s="27">
        <f>0.35*J66</f>
        <v>78.75</v>
      </c>
      <c r="M66" s="31">
        <f>positive(E66,F66,$B$13,$B$14,$B$21,$B$22,$B$18,$B$19,$E$8,$B$11,B66,C66,$D$59,I66)</f>
        <v>60</v>
      </c>
      <c r="N66" s="27">
        <f>M66*L66/100</f>
        <v>47.25</v>
      </c>
      <c r="O66" s="27">
        <f>0.85*N66</f>
        <v>40.162500000000001</v>
      </c>
      <c r="P66" s="27">
        <f>0.15*N66</f>
        <v>7.0874999999999995</v>
      </c>
      <c r="Q66" s="27">
        <f>(100-M66)*L66/100</f>
        <v>31.5</v>
      </c>
    </row>
    <row r="67" spans="1:17" x14ac:dyDescent="0.3">
      <c r="B67" s="50"/>
      <c r="C67" s="69"/>
      <c r="D67" s="68"/>
      <c r="E67" s="50"/>
      <c r="F67" s="50"/>
      <c r="G67" s="50"/>
      <c r="H67" s="50"/>
      <c r="I67" s="50"/>
      <c r="J67" s="57"/>
      <c r="K67" s="31" t="s">
        <v>35</v>
      </c>
      <c r="L67" s="27">
        <f>0.65*J66</f>
        <v>146.25</v>
      </c>
      <c r="M67" s="31">
        <f>negative(E66,F66,$B$13,$B$14,$B$21,$B$22,$B$18,$B$19,$E$8,$B$11,B66,C66,$D$59,I66)</f>
        <v>75</v>
      </c>
      <c r="N67" s="27">
        <f>M67*L67/100</f>
        <v>109.6875</v>
      </c>
      <c r="O67" s="27">
        <f>0.85*N67</f>
        <v>93.234375</v>
      </c>
      <c r="P67" s="27">
        <f>0.15*N67</f>
        <v>16.453125</v>
      </c>
      <c r="Q67" s="27">
        <f>(100-M67)*L67/100</f>
        <v>36.5625</v>
      </c>
    </row>
    <row r="68" spans="1:17" ht="15" customHeight="1" x14ac:dyDescent="0.3">
      <c r="A68" s="101"/>
      <c r="B68" s="50" t="s">
        <v>41</v>
      </c>
      <c r="C68" s="69" t="s">
        <v>38</v>
      </c>
      <c r="D68" s="66" t="s">
        <v>32</v>
      </c>
      <c r="E68" s="50">
        <v>22</v>
      </c>
      <c r="F68" s="70">
        <v>22</v>
      </c>
      <c r="G68" s="61">
        <v>18</v>
      </c>
      <c r="H68" s="61">
        <v>22</v>
      </c>
      <c r="I68" s="61">
        <f t="shared" ref="I68:I70" si="4">(G68+H68)/2</f>
        <v>20</v>
      </c>
      <c r="J68" s="58">
        <f>(E51*I68*(E68-B18/12)^2)/8</f>
        <v>230.66015625</v>
      </c>
      <c r="K68" s="8" t="s">
        <v>62</v>
      </c>
      <c r="L68" s="27">
        <f>0.35*J68</f>
        <v>80.731054687499991</v>
      </c>
      <c r="M68" s="8">
        <f>positive(E68,F68,$B$13,$B$14,$B$21,$B$22,$B$18,$B$19,$E$8,$B$11,B68,C68,$D$59,I68)</f>
        <v>60</v>
      </c>
      <c r="N68" s="27">
        <f t="shared" ref="N68:N73" si="5">M68*L68/100</f>
        <v>48.438632812499989</v>
      </c>
      <c r="O68" s="27">
        <f t="shared" ref="O68:O73" si="6">0.85*N68</f>
        <v>41.17283789062499</v>
      </c>
      <c r="P68" s="27">
        <f t="shared" ref="P68:P73" si="7">0.15*N68</f>
        <v>7.2657949218749982</v>
      </c>
      <c r="Q68" s="27">
        <f t="shared" ref="Q68:Q73" si="8">(100-M68)*L68/100</f>
        <v>32.292421874999995</v>
      </c>
    </row>
    <row r="69" spans="1:17" x14ac:dyDescent="0.3">
      <c r="A69" s="101"/>
      <c r="B69" s="50"/>
      <c r="C69" s="69"/>
      <c r="D69" s="68"/>
      <c r="E69" s="50"/>
      <c r="F69" s="71"/>
      <c r="G69" s="63"/>
      <c r="H69" s="63"/>
      <c r="I69" s="63"/>
      <c r="J69" s="59"/>
      <c r="K69" s="8" t="s">
        <v>35</v>
      </c>
      <c r="L69" s="27">
        <f>0.65*J68</f>
        <v>149.92910156249999</v>
      </c>
      <c r="M69" s="8">
        <f>negative(E68,F68,$B$13,$B$14,$B$21,$B$22,$B$18,$B$19,$E$8,$B$11,B68,C68,$D$59,I68)</f>
        <v>75</v>
      </c>
      <c r="N69" s="27">
        <f t="shared" si="5"/>
        <v>112.446826171875</v>
      </c>
      <c r="O69" s="27">
        <f t="shared" si="6"/>
        <v>95.579802246093749</v>
      </c>
      <c r="P69" s="27">
        <f t="shared" si="7"/>
        <v>16.86702392578125</v>
      </c>
      <c r="Q69" s="27">
        <f t="shared" si="8"/>
        <v>37.482275390624999</v>
      </c>
    </row>
    <row r="70" spans="1:17" x14ac:dyDescent="0.3">
      <c r="A70" s="101"/>
      <c r="B70" s="66" t="s">
        <v>42</v>
      </c>
      <c r="C70" s="69" t="s">
        <v>38</v>
      </c>
      <c r="D70" s="66" t="s">
        <v>32</v>
      </c>
      <c r="E70" s="50">
        <v>22</v>
      </c>
      <c r="F70" s="70">
        <v>22</v>
      </c>
      <c r="G70" s="61">
        <v>22</v>
      </c>
      <c r="H70" s="61">
        <v>22</v>
      </c>
      <c r="I70" s="61">
        <f t="shared" si="4"/>
        <v>22</v>
      </c>
      <c r="J70" s="58">
        <f>(E51*I70*(E70-B19/12)^2)/8</f>
        <v>247.5</v>
      </c>
      <c r="K70" s="8" t="s">
        <v>62</v>
      </c>
      <c r="L70" s="27">
        <f t="shared" ref="L70" si="9">0.35*J70</f>
        <v>86.625</v>
      </c>
      <c r="M70" s="8">
        <f>positive(E70,F70,$B$13,$B$14,$B$21,$B$22,$B$18,$B$19,$E$8,$B$11,B70,C70,$D$59,I70)</f>
        <v>60</v>
      </c>
      <c r="N70" s="27">
        <f t="shared" si="5"/>
        <v>51.975000000000001</v>
      </c>
      <c r="O70" s="27">
        <f t="shared" si="6"/>
        <v>44.178750000000001</v>
      </c>
      <c r="P70" s="27">
        <f t="shared" si="7"/>
        <v>7.7962499999999997</v>
      </c>
      <c r="Q70" s="27">
        <f t="shared" si="8"/>
        <v>34.65</v>
      </c>
    </row>
    <row r="71" spans="1:17" x14ac:dyDescent="0.3">
      <c r="A71" s="101"/>
      <c r="B71" s="68"/>
      <c r="C71" s="69"/>
      <c r="D71" s="68"/>
      <c r="E71" s="50"/>
      <c r="F71" s="84"/>
      <c r="G71" s="63"/>
      <c r="H71" s="63"/>
      <c r="I71" s="63"/>
      <c r="J71" s="59"/>
      <c r="K71" s="8" t="s">
        <v>35</v>
      </c>
      <c r="L71" s="27">
        <f t="shared" ref="L71" si="10">0.65*J70</f>
        <v>160.875</v>
      </c>
      <c r="M71" s="8">
        <f>negative(E70,F70,$B$13,$B$14,$B$21,$B$22,$B$18,$B$19,$E$8,$B$11,B70,C70,$D$59,I70)</f>
        <v>75</v>
      </c>
      <c r="N71" s="27">
        <f t="shared" si="5"/>
        <v>120.65625</v>
      </c>
      <c r="O71" s="27">
        <f t="shared" si="6"/>
        <v>102.5578125</v>
      </c>
      <c r="P71" s="27">
        <f t="shared" si="7"/>
        <v>18.098437499999999</v>
      </c>
      <c r="Q71" s="27">
        <f t="shared" si="8"/>
        <v>40.21875</v>
      </c>
    </row>
    <row r="72" spans="1:17" ht="15" customHeight="1" x14ac:dyDescent="0.3">
      <c r="A72" s="101"/>
      <c r="B72" s="50" t="s">
        <v>43</v>
      </c>
      <c r="C72" s="69" t="s">
        <v>38</v>
      </c>
      <c r="D72" s="66" t="s">
        <v>32</v>
      </c>
      <c r="E72" s="50">
        <v>22</v>
      </c>
      <c r="F72" s="50">
        <v>22</v>
      </c>
      <c r="G72" s="61">
        <v>22</v>
      </c>
      <c r="H72" s="61">
        <v>22</v>
      </c>
      <c r="I72" s="61">
        <f t="shared" ref="I72" si="11">(G72+H72)/2</f>
        <v>22</v>
      </c>
      <c r="J72" s="58">
        <f>(E51*I72*(E72-B18/12)^2)/8</f>
        <v>253.72617187500001</v>
      </c>
      <c r="K72" s="8" t="s">
        <v>62</v>
      </c>
      <c r="L72" s="27">
        <f t="shared" ref="L72" si="12">0.35*J72</f>
        <v>88.804160156249992</v>
      </c>
      <c r="M72" s="8">
        <f>positive(E72,F72,$B$13,$B$14,$B$21,$B$22,$B$18,$B$19,$E$8,$B$11,B72,C72,$D$59,I72)</f>
        <v>60</v>
      </c>
      <c r="N72" s="27">
        <f t="shared" si="5"/>
        <v>53.282496093749998</v>
      </c>
      <c r="O72" s="27">
        <f t="shared" si="6"/>
        <v>45.290121679687495</v>
      </c>
      <c r="P72" s="27">
        <f t="shared" si="7"/>
        <v>7.9923744140624997</v>
      </c>
      <c r="Q72" s="27">
        <f t="shared" si="8"/>
        <v>35.521664062499994</v>
      </c>
    </row>
    <row r="73" spans="1:17" x14ac:dyDescent="0.3">
      <c r="A73" s="101"/>
      <c r="B73" s="50"/>
      <c r="C73" s="69"/>
      <c r="D73" s="68"/>
      <c r="E73" s="50"/>
      <c r="F73" s="50"/>
      <c r="G73" s="63"/>
      <c r="H73" s="63"/>
      <c r="I73" s="63"/>
      <c r="J73" s="59"/>
      <c r="K73" s="8" t="s">
        <v>35</v>
      </c>
      <c r="L73" s="27">
        <f t="shared" ref="L73" si="13">0.65*J72</f>
        <v>164.92201171875001</v>
      </c>
      <c r="M73" s="8">
        <f>negative(E72,F72,$B$13,$B$14,$B$21,$B$22,$B$18,$B$19,$E$8,$B$11,B72,C72,$D$59,I72)</f>
        <v>75</v>
      </c>
      <c r="N73" s="27">
        <f t="shared" si="5"/>
        <v>123.69150878906252</v>
      </c>
      <c r="O73" s="27">
        <f t="shared" si="6"/>
        <v>105.13778247070314</v>
      </c>
      <c r="P73" s="27">
        <f t="shared" si="7"/>
        <v>18.553726318359377</v>
      </c>
      <c r="Q73" s="27">
        <f t="shared" si="8"/>
        <v>41.230502929687503</v>
      </c>
    </row>
    <row r="74" spans="1:17" x14ac:dyDescent="0.3">
      <c r="A74" s="101"/>
      <c r="E74" t="s">
        <v>54</v>
      </c>
    </row>
    <row r="75" spans="1:17" x14ac:dyDescent="0.3">
      <c r="A75" s="7"/>
    </row>
    <row r="76" spans="1:17" ht="15.6" x14ac:dyDescent="0.3">
      <c r="A76" s="7"/>
      <c r="B76" s="14" t="s">
        <v>56</v>
      </c>
    </row>
    <row r="77" spans="1:17" x14ac:dyDescent="0.3">
      <c r="A77" s="7"/>
      <c r="B77" s="99"/>
      <c r="C77" s="100"/>
      <c r="D77" s="35" t="s">
        <v>74</v>
      </c>
      <c r="E77" s="35" t="s">
        <v>71</v>
      </c>
      <c r="F77" s="35" t="s">
        <v>72</v>
      </c>
      <c r="G77" s="35" t="s">
        <v>57</v>
      </c>
      <c r="H77" s="36" t="s">
        <v>58</v>
      </c>
      <c r="I77" s="36" t="s">
        <v>128</v>
      </c>
      <c r="J77" s="36" t="s">
        <v>60</v>
      </c>
      <c r="K77" s="43" t="s">
        <v>78</v>
      </c>
      <c r="L77" s="44"/>
      <c r="M77" s="45"/>
    </row>
    <row r="78" spans="1:17" x14ac:dyDescent="0.3">
      <c r="A78" s="7"/>
      <c r="B78" s="94" t="s">
        <v>61</v>
      </c>
      <c r="C78" s="95"/>
      <c r="D78" s="95"/>
      <c r="E78" s="95"/>
      <c r="F78" s="95"/>
      <c r="G78" s="95"/>
      <c r="H78" s="95"/>
      <c r="I78" s="95"/>
      <c r="J78" s="96"/>
      <c r="K78" s="5" t="s">
        <v>67</v>
      </c>
      <c r="L78" s="5">
        <v>0.5</v>
      </c>
      <c r="M78" s="5" t="s">
        <v>10</v>
      </c>
    </row>
    <row r="79" spans="1:17" x14ac:dyDescent="0.3">
      <c r="A79" s="7"/>
      <c r="B79" s="97" t="s">
        <v>62</v>
      </c>
      <c r="C79" s="98"/>
      <c r="D79" s="30">
        <f>ROUND(12000*(P68/2+P72/2),2)</f>
        <v>91549.02</v>
      </c>
      <c r="E79" s="30">
        <f>11*12-$B$19</f>
        <v>108</v>
      </c>
      <c r="F79" s="30">
        <f>$B$11-$L$78-$L$79/8-$L$79/8</f>
        <v>5.5</v>
      </c>
      <c r="G79" s="30">
        <f>ROUND(D79/($B$16*E79*F79^2),2)</f>
        <v>37.36</v>
      </c>
      <c r="H79" s="30">
        <f>ROUND(rho($B$10,$B$9,G79),5)</f>
        <v>2.0999999999999999E-3</v>
      </c>
      <c r="I79" s="30">
        <f>ROUND(H79*E79*F79,2)</f>
        <v>1.25</v>
      </c>
      <c r="J79" s="30">
        <f>ROUND(I79/$L$80,0)</f>
        <v>6</v>
      </c>
      <c r="K79" s="5" t="s">
        <v>68</v>
      </c>
      <c r="L79" s="5">
        <v>4</v>
      </c>
      <c r="M79" s="5"/>
    </row>
    <row r="80" spans="1:17" x14ac:dyDescent="0.3">
      <c r="A80" s="7"/>
      <c r="B80" s="33" t="s">
        <v>63</v>
      </c>
      <c r="C80" s="33"/>
      <c r="D80" s="30">
        <f>ROUND(12000*(P69/2+P73/2),2)</f>
        <v>212524.5</v>
      </c>
      <c r="E80" s="30">
        <f>11*12-$B$19</f>
        <v>108</v>
      </c>
      <c r="F80" s="30">
        <f>$B$11-$L$78-$L$79/8-$L$79/8</f>
        <v>5.5</v>
      </c>
      <c r="G80" s="30">
        <f>ROUND(D80/($B$16*E80*F80^2),2)</f>
        <v>86.74</v>
      </c>
      <c r="H80" s="30">
        <f t="shared" ref="H80:H89" si="14">ROUND(rho($B$10,$B$9,G80),5)</f>
        <v>2.0999999999999999E-3</v>
      </c>
      <c r="I80" s="30">
        <f>ROUND(H80*E80*F80,2)</f>
        <v>1.25</v>
      </c>
      <c r="J80" s="30">
        <f>ROUND(I80/$L$80,0)</f>
        <v>6</v>
      </c>
      <c r="K80" s="5" t="s">
        <v>76</v>
      </c>
      <c r="L80" s="5">
        <f>0.785*(L79/8)*(L79/8)</f>
        <v>0.19625000000000001</v>
      </c>
      <c r="M80" s="5" t="s">
        <v>77</v>
      </c>
    </row>
    <row r="81" spans="1:10" x14ac:dyDescent="0.3">
      <c r="A81" s="7"/>
      <c r="B81" s="94" t="s">
        <v>64</v>
      </c>
      <c r="C81" s="95"/>
      <c r="D81" s="95"/>
      <c r="E81" s="95"/>
      <c r="F81" s="95"/>
      <c r="G81" s="95"/>
      <c r="H81" s="95"/>
      <c r="I81" s="95"/>
      <c r="J81" s="96"/>
    </row>
    <row r="82" spans="1:10" x14ac:dyDescent="0.3">
      <c r="A82" s="7"/>
      <c r="B82" s="97" t="s">
        <v>62</v>
      </c>
      <c r="C82" s="98"/>
      <c r="D82" s="30">
        <f>ROUND(12000*(Q68/2+Q72/2),2)</f>
        <v>406884.52</v>
      </c>
      <c r="E82" s="30">
        <f>11*12</f>
        <v>132</v>
      </c>
      <c r="F82" s="30">
        <f>$B$11-$L$78-$L$79/8-$L$79/8</f>
        <v>5.5</v>
      </c>
      <c r="G82" s="30">
        <f>ROUND(D82/($B$16*E82*F82^2),2)</f>
        <v>135.87</v>
      </c>
      <c r="H82" s="30">
        <f t="shared" si="14"/>
        <v>2.31E-3</v>
      </c>
      <c r="I82" s="30">
        <f>ROUND(H82*E82*F82,2)</f>
        <v>1.68</v>
      </c>
      <c r="J82" s="30">
        <f>ROUND(I82/$L$80,0)</f>
        <v>9</v>
      </c>
    </row>
    <row r="83" spans="1:10" x14ac:dyDescent="0.3">
      <c r="A83" s="7"/>
      <c r="B83" s="33" t="s">
        <v>63</v>
      </c>
      <c r="C83" s="33"/>
      <c r="D83" s="30">
        <f>ROUND(12000*(Q69/2+Q73/2),2)</f>
        <v>472276.67</v>
      </c>
      <c r="E83" s="30">
        <f>11*12</f>
        <v>132</v>
      </c>
      <c r="F83" s="30">
        <f>$B$11-$L$78-$L$79/8-$L$79/8</f>
        <v>5.5</v>
      </c>
      <c r="G83" s="30">
        <f>ROUND(D83/($B$16*E83*F83^2),2)</f>
        <v>157.69999999999999</v>
      </c>
      <c r="H83" s="30">
        <f t="shared" si="14"/>
        <v>2.6900000000000001E-3</v>
      </c>
      <c r="I83" s="30">
        <f>ROUND(H83*E83*F83,2)</f>
        <v>1.95</v>
      </c>
      <c r="J83" s="30">
        <f>ROUND(I83/$L$80,0)</f>
        <v>10</v>
      </c>
    </row>
    <row r="84" spans="1:10" x14ac:dyDescent="0.3">
      <c r="A84" s="7"/>
      <c r="B84" s="94" t="s">
        <v>65</v>
      </c>
      <c r="C84" s="95"/>
      <c r="D84" s="95"/>
      <c r="E84" s="95"/>
      <c r="F84" s="95"/>
      <c r="G84" s="95"/>
      <c r="H84" s="95"/>
      <c r="I84" s="95"/>
      <c r="J84" s="96"/>
    </row>
    <row r="85" spans="1:10" x14ac:dyDescent="0.3">
      <c r="A85" s="7"/>
      <c r="B85" s="97" t="s">
        <v>62</v>
      </c>
      <c r="C85" s="98"/>
      <c r="D85" s="30">
        <f>ROUND(12000*(P66/2+P70/2),2)</f>
        <v>89302.5</v>
      </c>
      <c r="E85" s="30">
        <f>11*12-$B$18</f>
        <v>111</v>
      </c>
      <c r="F85" s="30">
        <f>$B$11-$L$78-$L$79/8</f>
        <v>6</v>
      </c>
      <c r="G85" s="30">
        <f>ROUND(D85/($B$16*E85*F85^2),2)</f>
        <v>29.8</v>
      </c>
      <c r="H85" s="30">
        <f t="shared" si="14"/>
        <v>2.0999999999999999E-3</v>
      </c>
      <c r="I85" s="30">
        <f>ROUND(H85*E85*F85,2)</f>
        <v>1.4</v>
      </c>
      <c r="J85" s="30">
        <f>ROUND(I85/$L$80,0)</f>
        <v>7</v>
      </c>
    </row>
    <row r="86" spans="1:10" x14ac:dyDescent="0.3">
      <c r="A86" s="7"/>
      <c r="B86" s="33" t="s">
        <v>63</v>
      </c>
      <c r="C86" s="33"/>
      <c r="D86" s="30">
        <f>ROUND(12000*(P67/2+P71/2),2)</f>
        <v>207309.38</v>
      </c>
      <c r="E86" s="30">
        <f>11*12-$B$18</f>
        <v>111</v>
      </c>
      <c r="F86" s="30">
        <f>$B$11-$L$78-$L$79/8</f>
        <v>6</v>
      </c>
      <c r="G86" s="30">
        <f>ROUND(D86/($B$16*E86*F86^2),2)</f>
        <v>69.17</v>
      </c>
      <c r="H86" s="30">
        <f t="shared" si="14"/>
        <v>2.0999999999999999E-3</v>
      </c>
      <c r="I86" s="30">
        <f>ROUND(H86*E86*F86,2)</f>
        <v>1.4</v>
      </c>
      <c r="J86" s="30">
        <f>ROUND(I86/$L$80,0)</f>
        <v>7</v>
      </c>
    </row>
    <row r="87" spans="1:10" x14ac:dyDescent="0.3">
      <c r="A87" s="7"/>
      <c r="B87" s="94" t="s">
        <v>66</v>
      </c>
      <c r="C87" s="95"/>
      <c r="D87" s="95"/>
      <c r="E87" s="95"/>
      <c r="F87" s="95"/>
      <c r="G87" s="95"/>
      <c r="H87" s="95"/>
      <c r="I87" s="95"/>
      <c r="J87" s="96"/>
    </row>
    <row r="88" spans="1:10" x14ac:dyDescent="0.3">
      <c r="A88" s="7"/>
      <c r="B88" s="97" t="s">
        <v>62</v>
      </c>
      <c r="C88" s="98"/>
      <c r="D88" s="30">
        <f>ROUND(12000*(Q66/2+Q70/2),2)</f>
        <v>396900</v>
      </c>
      <c r="E88" s="30">
        <f>11*12</f>
        <v>132</v>
      </c>
      <c r="F88" s="30">
        <f>$B$11-$L$78-$L$79/8</f>
        <v>6</v>
      </c>
      <c r="G88" s="30">
        <f>ROUND(D88/($B$16*E88*F88^2),2)</f>
        <v>111.36</v>
      </c>
      <c r="H88" s="30">
        <f t="shared" si="14"/>
        <v>2.0999999999999999E-3</v>
      </c>
      <c r="I88" s="30">
        <f>ROUND(H88*E88*F88,2)</f>
        <v>1.66</v>
      </c>
      <c r="J88" s="30">
        <f>ROUND(I88/$L$80,0)</f>
        <v>8</v>
      </c>
    </row>
    <row r="89" spans="1:10" x14ac:dyDescent="0.3">
      <c r="A89" s="7"/>
      <c r="B89" s="33" t="s">
        <v>63</v>
      </c>
      <c r="C89" s="33"/>
      <c r="D89" s="30">
        <f>ROUND(12000*(Q67/2+Q71/2),2)</f>
        <v>460687.5</v>
      </c>
      <c r="E89" s="30">
        <f>11*12</f>
        <v>132</v>
      </c>
      <c r="F89" s="30">
        <f>$B$11-$L$78-$L$79/8</f>
        <v>6</v>
      </c>
      <c r="G89" s="30">
        <f>ROUND(D89/($B$16*E89*F89^2),2)</f>
        <v>129.26</v>
      </c>
      <c r="H89" s="30">
        <f t="shared" si="14"/>
        <v>2.2000000000000001E-3</v>
      </c>
      <c r="I89" s="30">
        <f>ROUND(H89*E89*F89,2)</f>
        <v>1.74</v>
      </c>
      <c r="J89" s="30">
        <f>ROUND(I89/$L$80,0)</f>
        <v>9</v>
      </c>
    </row>
    <row r="90" spans="1:10" x14ac:dyDescent="0.3">
      <c r="A90" s="7"/>
    </row>
    <row r="91" spans="1:10" x14ac:dyDescent="0.3">
      <c r="A91" s="7"/>
      <c r="E91" t="s">
        <v>69</v>
      </c>
    </row>
    <row r="92" spans="1:10" x14ac:dyDescent="0.3">
      <c r="A92" s="7"/>
    </row>
    <row r="93" spans="1:10" x14ac:dyDescent="0.3">
      <c r="A93" s="7"/>
    </row>
    <row r="94" spans="1:10" ht="15" thickBot="1" x14ac:dyDescent="0.35"/>
    <row r="95" spans="1:10" ht="15" thickBot="1" x14ac:dyDescent="0.35">
      <c r="A95" s="91" t="s">
        <v>53</v>
      </c>
      <c r="B95" s="92"/>
      <c r="C95" s="92"/>
      <c r="D95" s="93"/>
    </row>
    <row r="96" spans="1:10" x14ac:dyDescent="0.3">
      <c r="H96" s="28">
        <v>22</v>
      </c>
    </row>
    <row r="101" spans="2:17" x14ac:dyDescent="0.3">
      <c r="F101">
        <v>18</v>
      </c>
    </row>
    <row r="106" spans="2:17" ht="15.6" x14ac:dyDescent="0.3">
      <c r="B106" s="14" t="s">
        <v>30</v>
      </c>
      <c r="C106" s="14"/>
      <c r="D106" s="14"/>
      <c r="L106" s="9"/>
      <c r="M106" s="9"/>
      <c r="N106" s="9"/>
    </row>
    <row r="107" spans="2:17" ht="27" customHeight="1" x14ac:dyDescent="0.3">
      <c r="B107" s="61"/>
      <c r="C107" s="88" t="s">
        <v>36</v>
      </c>
      <c r="D107" s="90"/>
      <c r="E107" s="50" t="s">
        <v>133</v>
      </c>
      <c r="F107" s="50"/>
      <c r="G107" s="50"/>
      <c r="H107" s="50"/>
      <c r="I107" s="50"/>
      <c r="J107" s="50" t="s">
        <v>73</v>
      </c>
      <c r="K107" s="50"/>
      <c r="L107" s="50"/>
      <c r="M107" s="69" t="s">
        <v>33</v>
      </c>
      <c r="N107" s="69"/>
      <c r="O107" s="69" t="s">
        <v>132</v>
      </c>
      <c r="P107" s="69" t="s">
        <v>130</v>
      </c>
      <c r="Q107" s="69" t="s">
        <v>131</v>
      </c>
    </row>
    <row r="108" spans="2:17" x14ac:dyDescent="0.3">
      <c r="B108" s="62"/>
      <c r="C108" s="50" t="s">
        <v>31</v>
      </c>
      <c r="D108" s="70" t="s">
        <v>37</v>
      </c>
      <c r="E108" s="50" t="s">
        <v>34</v>
      </c>
      <c r="F108" s="50"/>
      <c r="G108" s="69" t="s">
        <v>48</v>
      </c>
      <c r="H108" s="69" t="s">
        <v>49</v>
      </c>
      <c r="I108" s="50" t="s">
        <v>47</v>
      </c>
      <c r="J108" s="50" t="s">
        <v>5</v>
      </c>
      <c r="K108" s="50" t="s">
        <v>50</v>
      </c>
      <c r="L108" s="50"/>
      <c r="M108" s="69" t="s">
        <v>51</v>
      </c>
      <c r="N108" s="50" t="s">
        <v>52</v>
      </c>
      <c r="O108" s="50"/>
      <c r="P108" s="50"/>
      <c r="Q108" s="69"/>
    </row>
    <row r="109" spans="2:17" x14ac:dyDescent="0.3">
      <c r="B109" s="63"/>
      <c r="C109" s="50"/>
      <c r="D109" s="84"/>
      <c r="E109" s="31" t="s">
        <v>1</v>
      </c>
      <c r="F109" s="31" t="s">
        <v>2</v>
      </c>
      <c r="G109" s="69"/>
      <c r="H109" s="69"/>
      <c r="I109" s="50"/>
      <c r="J109" s="50"/>
      <c r="K109" s="50"/>
      <c r="L109" s="50"/>
      <c r="M109" s="69"/>
      <c r="N109" s="50"/>
      <c r="O109" s="50"/>
      <c r="P109" s="50"/>
      <c r="Q109" s="69"/>
    </row>
    <row r="110" spans="2:17" ht="15" customHeight="1" x14ac:dyDescent="0.3">
      <c r="B110" s="61" t="s">
        <v>40</v>
      </c>
      <c r="C110" s="66" t="s">
        <v>38</v>
      </c>
      <c r="D110" s="72" t="s">
        <v>89</v>
      </c>
      <c r="E110" s="50">
        <v>18</v>
      </c>
      <c r="F110" s="50">
        <v>22</v>
      </c>
      <c r="G110" s="50">
        <v>18</v>
      </c>
      <c r="H110" s="50">
        <v>22</v>
      </c>
      <c r="I110" s="50">
        <f>(G110+H110)/2</f>
        <v>20</v>
      </c>
      <c r="J110" s="57">
        <f>(E51*I110*(E110-B19/12)^2)/8</f>
        <v>144</v>
      </c>
      <c r="K110" s="31" t="s">
        <v>62</v>
      </c>
      <c r="L110" s="27">
        <f>0.52*J110</f>
        <v>74.88</v>
      </c>
      <c r="M110" s="27">
        <f>positive(E110,F110,$B$13,$B$14,$B$21,$B$22,$B$18,$B$19,$E$8,$B$11,B110,C110,$D$59,I110)</f>
        <v>60</v>
      </c>
      <c r="N110" s="27">
        <f>M110*L110/100</f>
        <v>44.92799999999999</v>
      </c>
      <c r="O110" s="27">
        <f>0.85*N110</f>
        <v>38.188799999999993</v>
      </c>
      <c r="P110" s="27">
        <f>0.15*N110</f>
        <v>6.7391999999999985</v>
      </c>
      <c r="Q110" s="27">
        <f>(100-M110)*L110/100</f>
        <v>29.951999999999998</v>
      </c>
    </row>
    <row r="111" spans="2:17" x14ac:dyDescent="0.3">
      <c r="B111" s="62"/>
      <c r="C111" s="67"/>
      <c r="D111" s="73"/>
      <c r="E111" s="50"/>
      <c r="F111" s="50"/>
      <c r="G111" s="50"/>
      <c r="H111" s="50"/>
      <c r="I111" s="50"/>
      <c r="J111" s="57"/>
      <c r="K111" s="31" t="s">
        <v>35</v>
      </c>
      <c r="L111" s="27">
        <f>0.7*J110</f>
        <v>100.8</v>
      </c>
      <c r="M111" s="27">
        <f>negative(E110,F110,$B$13,$B$14,$B$21,$B$22,$B$18,$B$19,$E$8,$B$11,B110,C110,$D$59,I110)</f>
        <v>75</v>
      </c>
      <c r="N111" s="27">
        <f>M111*L111/100</f>
        <v>75.599999999999994</v>
      </c>
      <c r="O111" s="27">
        <f>0.85*N111</f>
        <v>64.259999999999991</v>
      </c>
      <c r="P111" s="27">
        <f>0.15*N111</f>
        <v>11.339999999999998</v>
      </c>
      <c r="Q111" s="27">
        <f>(100-M111)*L111/100</f>
        <v>25.2</v>
      </c>
    </row>
    <row r="112" spans="2:17" x14ac:dyDescent="0.3">
      <c r="B112" s="63"/>
      <c r="C112" s="68"/>
      <c r="D112" s="74"/>
      <c r="E112" s="50"/>
      <c r="F112" s="50"/>
      <c r="G112" s="50"/>
      <c r="H112" s="50"/>
      <c r="I112" s="50"/>
      <c r="J112" s="57"/>
      <c r="K112" s="31" t="s">
        <v>90</v>
      </c>
      <c r="L112" s="27">
        <f>0.26*J110</f>
        <v>37.44</v>
      </c>
      <c r="M112" s="27">
        <f>exteriornegative(E110,F110,B13,B14,B21,B22,B18,B19,E8,B11,B110,C110,D59,I110,E60)</f>
        <v>83.071428571428569</v>
      </c>
      <c r="N112" s="27">
        <f>M112*L112/100</f>
        <v>31.101942857142852</v>
      </c>
      <c r="O112" s="27">
        <f>0.85*N112</f>
        <v>26.436651428571423</v>
      </c>
      <c r="P112" s="27">
        <f>0.15*N112</f>
        <v>4.665291428571428</v>
      </c>
      <c r="Q112" s="27">
        <f>(100-M112)*L112/100</f>
        <v>6.3380571428571431</v>
      </c>
    </row>
    <row r="113" spans="2:17" x14ac:dyDescent="0.3">
      <c r="B113" s="50" t="s">
        <v>41</v>
      </c>
      <c r="C113" s="69" t="s">
        <v>39</v>
      </c>
      <c r="D113" s="69" t="s">
        <v>32</v>
      </c>
      <c r="E113" s="50">
        <v>22</v>
      </c>
      <c r="F113" s="70">
        <v>18</v>
      </c>
      <c r="G113" s="61">
        <v>0</v>
      </c>
      <c r="H113" s="61">
        <v>18</v>
      </c>
      <c r="I113" s="61">
        <f>(G113+H113)/2+(B19/24)</f>
        <v>10</v>
      </c>
      <c r="J113" s="58">
        <f>(E51*I113*(E113-B18/12)^2)/8</f>
        <v>115.330078125</v>
      </c>
      <c r="K113" s="8" t="s">
        <v>62</v>
      </c>
      <c r="L113" s="27">
        <f>0.35*J113</f>
        <v>40.365527343749996</v>
      </c>
      <c r="M113" s="27">
        <f>positive(E113,F113,$B$13,$B$14,$B$21,$B$22,$B$18,$B$19,$E$8,$B$11,B113,C113,$D$59,I113)</f>
        <v>60</v>
      </c>
      <c r="N113" s="27">
        <f t="shared" ref="N113:N119" si="15">M113*L113/100</f>
        <v>24.219316406249995</v>
      </c>
      <c r="O113" s="27">
        <f t="shared" ref="O113:O119" si="16">0.85*N113</f>
        <v>20.586418945312495</v>
      </c>
      <c r="P113" s="27">
        <f t="shared" ref="P113:P119" si="17">0.15*N113</f>
        <v>3.6328974609374991</v>
      </c>
      <c r="Q113" s="27">
        <f t="shared" ref="Q113:Q119" si="18">(100-M113)*L113/100</f>
        <v>16.146210937499998</v>
      </c>
    </row>
    <row r="114" spans="2:17" x14ac:dyDescent="0.3">
      <c r="B114" s="50"/>
      <c r="C114" s="69"/>
      <c r="D114" s="69"/>
      <c r="E114" s="50"/>
      <c r="F114" s="71"/>
      <c r="G114" s="63"/>
      <c r="H114" s="63"/>
      <c r="I114" s="63"/>
      <c r="J114" s="59"/>
      <c r="K114" s="8" t="s">
        <v>35</v>
      </c>
      <c r="L114" s="27">
        <f>0.65*J113</f>
        <v>74.964550781249997</v>
      </c>
      <c r="M114" s="27">
        <f>negative(E113,F113,$B$13,$B$14,$B$21,$B$22,$B$18,$B$19,$E$8,$B$11,B113,C113,$D$59,I113)</f>
        <v>75</v>
      </c>
      <c r="N114" s="27">
        <f t="shared" si="15"/>
        <v>56.223413085937501</v>
      </c>
      <c r="O114" s="27">
        <f t="shared" si="16"/>
        <v>47.789901123046874</v>
      </c>
      <c r="P114" s="27">
        <f t="shared" si="17"/>
        <v>8.4335119628906252</v>
      </c>
      <c r="Q114" s="27">
        <f t="shared" si="18"/>
        <v>18.741137695312499</v>
      </c>
    </row>
    <row r="115" spans="2:17" ht="15" customHeight="1" x14ac:dyDescent="0.3">
      <c r="B115" s="66" t="s">
        <v>42</v>
      </c>
      <c r="C115" s="66" t="s">
        <v>38</v>
      </c>
      <c r="D115" s="66" t="s">
        <v>89</v>
      </c>
      <c r="E115" s="61">
        <v>18</v>
      </c>
      <c r="F115" s="61">
        <v>22</v>
      </c>
      <c r="G115" s="61">
        <v>22</v>
      </c>
      <c r="H115" s="61">
        <v>22</v>
      </c>
      <c r="I115" s="61">
        <f t="shared" ref="I115" si="19">(G115+H115)/2</f>
        <v>22</v>
      </c>
      <c r="J115" s="58">
        <f>(E51*I115*(E115-B19/12)^2)/8</f>
        <v>158.4</v>
      </c>
      <c r="K115" s="8" t="s">
        <v>62</v>
      </c>
      <c r="L115" s="27">
        <f>0.52*J115</f>
        <v>82.368000000000009</v>
      </c>
      <c r="M115" s="27">
        <f>positive(E115,F115,$B$13,$B$14,$B$21,$B$22,$B$18,$B$19,$E$8,$B$11,B115,C115,$D$59,I115)</f>
        <v>60</v>
      </c>
      <c r="N115" s="27">
        <f t="shared" si="15"/>
        <v>49.420800000000007</v>
      </c>
      <c r="O115" s="27">
        <f t="shared" si="16"/>
        <v>42.007680000000008</v>
      </c>
      <c r="P115" s="27">
        <f t="shared" si="17"/>
        <v>7.413120000000001</v>
      </c>
      <c r="Q115" s="27">
        <f t="shared" si="18"/>
        <v>32.947200000000002</v>
      </c>
    </row>
    <row r="116" spans="2:17" x14ac:dyDescent="0.3">
      <c r="B116" s="67"/>
      <c r="C116" s="67"/>
      <c r="D116" s="67"/>
      <c r="E116" s="62"/>
      <c r="F116" s="62"/>
      <c r="G116" s="62"/>
      <c r="H116" s="62"/>
      <c r="I116" s="62"/>
      <c r="J116" s="60"/>
      <c r="K116" s="8" t="s">
        <v>35</v>
      </c>
      <c r="L116" s="27">
        <f>0.7*J115</f>
        <v>110.88</v>
      </c>
      <c r="M116" s="27">
        <f>negative(E115,F115,$B$13,$B$14,$B$21,$B$22,$B$18,$B$19,$E$8,$B$11,B115,C115,$D$59,I115)</f>
        <v>75</v>
      </c>
      <c r="N116" s="27">
        <f t="shared" si="15"/>
        <v>83.16</v>
      </c>
      <c r="O116" s="27">
        <f t="shared" si="16"/>
        <v>70.685999999999993</v>
      </c>
      <c r="P116" s="27">
        <f t="shared" si="17"/>
        <v>12.473999999999998</v>
      </c>
      <c r="Q116" s="27">
        <f t="shared" si="18"/>
        <v>27.72</v>
      </c>
    </row>
    <row r="117" spans="2:17" x14ac:dyDescent="0.3">
      <c r="B117" s="68"/>
      <c r="C117" s="68"/>
      <c r="D117" s="68"/>
      <c r="E117" s="63"/>
      <c r="F117" s="63"/>
      <c r="G117" s="63"/>
      <c r="H117" s="63"/>
      <c r="I117" s="63"/>
      <c r="J117" s="59"/>
      <c r="K117" s="8" t="s">
        <v>90</v>
      </c>
      <c r="L117" s="27">
        <f>0.26*J115</f>
        <v>41.184000000000005</v>
      </c>
      <c r="M117" s="27">
        <f>exteriornegative(E115,F115,B13,B14,B21,B22,B18,B19,E8,B11,B115,C115,D59,I115,E60)</f>
        <v>84.610389610389603</v>
      </c>
      <c r="N117" s="27">
        <f t="shared" si="15"/>
        <v>34.845942857142859</v>
      </c>
      <c r="O117" s="27">
        <f t="shared" si="16"/>
        <v>29.619051428571428</v>
      </c>
      <c r="P117" s="27">
        <f t="shared" si="17"/>
        <v>5.2268914285714283</v>
      </c>
      <c r="Q117" s="27">
        <f t="shared" si="18"/>
        <v>6.3380571428571466</v>
      </c>
    </row>
    <row r="118" spans="2:17" x14ac:dyDescent="0.3">
      <c r="B118" s="50" t="s">
        <v>43</v>
      </c>
      <c r="C118" s="69" t="s">
        <v>38</v>
      </c>
      <c r="D118" s="69" t="s">
        <v>32</v>
      </c>
      <c r="E118" s="50">
        <v>22</v>
      </c>
      <c r="F118" s="50">
        <v>18</v>
      </c>
      <c r="G118" s="61">
        <v>18</v>
      </c>
      <c r="H118" s="61">
        <v>22</v>
      </c>
      <c r="I118" s="61">
        <f t="shared" ref="I118" si="20">(G118+H118)/2</f>
        <v>20</v>
      </c>
      <c r="J118" s="58">
        <f>(E51*I118*(E118-B18/12)^2)/8</f>
        <v>230.66015625</v>
      </c>
      <c r="K118" s="8" t="s">
        <v>62</v>
      </c>
      <c r="L118" s="27">
        <f t="shared" ref="L118" si="21">0.35*J118</f>
        <v>80.731054687499991</v>
      </c>
      <c r="M118" s="27">
        <f>positive(E118,F118,$B$13,$B$14,$B$21,$B$22,$B$18,$B$19,$E$8,$B$11,B118,C118,$D$59,I118)</f>
        <v>60</v>
      </c>
      <c r="N118" s="27">
        <f t="shared" si="15"/>
        <v>48.438632812499989</v>
      </c>
      <c r="O118" s="27">
        <f t="shared" si="16"/>
        <v>41.17283789062499</v>
      </c>
      <c r="P118" s="27">
        <f t="shared" si="17"/>
        <v>7.2657949218749982</v>
      </c>
      <c r="Q118" s="27">
        <f t="shared" si="18"/>
        <v>32.292421874999995</v>
      </c>
    </row>
    <row r="119" spans="2:17" x14ac:dyDescent="0.3">
      <c r="B119" s="50"/>
      <c r="C119" s="69"/>
      <c r="D119" s="69"/>
      <c r="E119" s="50"/>
      <c r="F119" s="50"/>
      <c r="G119" s="63"/>
      <c r="H119" s="63"/>
      <c r="I119" s="63"/>
      <c r="J119" s="59"/>
      <c r="K119" s="8" t="s">
        <v>35</v>
      </c>
      <c r="L119" s="27">
        <f t="shared" ref="L119" si="22">0.65*J118</f>
        <v>149.92910156249999</v>
      </c>
      <c r="M119" s="27">
        <f>negative(E118,F118,$B$13,$B$14,$B$21,$B$22,$B$18,$B$19,$E$8,$B$11,B118,C118,$D$59,I118)</f>
        <v>75</v>
      </c>
      <c r="N119" s="27">
        <f t="shared" si="15"/>
        <v>112.446826171875</v>
      </c>
      <c r="O119" s="27">
        <f t="shared" si="16"/>
        <v>95.579802246093749</v>
      </c>
      <c r="P119" s="27">
        <f t="shared" si="17"/>
        <v>16.86702392578125</v>
      </c>
      <c r="Q119" s="27">
        <f t="shared" si="18"/>
        <v>37.482275390624999</v>
      </c>
    </row>
    <row r="120" spans="2:17" x14ac:dyDescent="0.3">
      <c r="E120" t="s">
        <v>54</v>
      </c>
    </row>
    <row r="122" spans="2:17" ht="15.6" x14ac:dyDescent="0.3">
      <c r="B122" s="14" t="s">
        <v>56</v>
      </c>
    </row>
    <row r="123" spans="2:17" x14ac:dyDescent="0.3">
      <c r="B123" s="64"/>
      <c r="C123" s="65"/>
      <c r="D123" s="35" t="s">
        <v>74</v>
      </c>
      <c r="E123" s="35" t="s">
        <v>71</v>
      </c>
      <c r="F123" s="35" t="s">
        <v>72</v>
      </c>
      <c r="G123" s="35" t="s">
        <v>57</v>
      </c>
      <c r="H123" s="36" t="s">
        <v>58</v>
      </c>
      <c r="I123" s="36" t="s">
        <v>59</v>
      </c>
      <c r="J123" s="36" t="s">
        <v>60</v>
      </c>
      <c r="K123" s="43" t="s">
        <v>78</v>
      </c>
      <c r="L123" s="44"/>
      <c r="M123" s="45"/>
    </row>
    <row r="124" spans="2:17" x14ac:dyDescent="0.3">
      <c r="B124" s="51" t="s">
        <v>91</v>
      </c>
      <c r="C124" s="52"/>
      <c r="D124" s="52"/>
      <c r="E124" s="52"/>
      <c r="F124" s="52"/>
      <c r="G124" s="52"/>
      <c r="H124" s="52"/>
      <c r="I124" s="52"/>
      <c r="J124" s="53"/>
      <c r="K124" s="5" t="s">
        <v>67</v>
      </c>
      <c r="L124" s="5">
        <v>0.5</v>
      </c>
      <c r="M124" s="5" t="s">
        <v>10</v>
      </c>
    </row>
    <row r="125" spans="2:17" x14ac:dyDescent="0.3">
      <c r="B125" s="46" t="s">
        <v>62</v>
      </c>
      <c r="C125" s="47"/>
      <c r="D125" s="30">
        <f>ROUND(12000*(P110/2+P115/2),2)</f>
        <v>84913.919999999998</v>
      </c>
      <c r="E125" s="30">
        <v>96</v>
      </c>
      <c r="F125" s="30">
        <f>$B$11-$L$78-$L$79/8-$L$79/8</f>
        <v>5.5</v>
      </c>
      <c r="G125" s="30">
        <f>ROUND(D125/($B$16*E125*F125^2),2)</f>
        <v>38.99</v>
      </c>
      <c r="H125" s="30">
        <f>rho($B$10,$B$9,G125)</f>
        <v>2.0999999999999999E-3</v>
      </c>
      <c r="I125" s="30">
        <f>ROUND(H125*E125*F125,2)</f>
        <v>1.1100000000000001</v>
      </c>
      <c r="J125" s="30">
        <f>ROUND(I125/$L$80,0)</f>
        <v>6</v>
      </c>
      <c r="K125" s="5" t="s">
        <v>68</v>
      </c>
      <c r="L125" s="5">
        <v>4</v>
      </c>
      <c r="M125" s="5"/>
    </row>
    <row r="126" spans="2:17" x14ac:dyDescent="0.3">
      <c r="B126" s="46" t="s">
        <v>63</v>
      </c>
      <c r="C126" s="47"/>
      <c r="D126" s="30">
        <f>ROUND(12000*(P111/2+P116/2),2)</f>
        <v>142884</v>
      </c>
      <c r="E126" s="30">
        <v>96</v>
      </c>
      <c r="F126" s="30">
        <f>$B$11-$L$78-$L$79/8-$L$79/8</f>
        <v>5.5</v>
      </c>
      <c r="G126" s="30">
        <f>ROUND(D126/($B$16*E126*F126^2),2)</f>
        <v>65.599999999999994</v>
      </c>
      <c r="H126" s="30">
        <f t="shared" ref="H126:H127" si="23">rho($B$10,$B$9,G126)</f>
        <v>2.0999999999999999E-3</v>
      </c>
      <c r="I126" s="30">
        <f>ROUND(H126*E126*F126,2)</f>
        <v>1.1100000000000001</v>
      </c>
      <c r="J126" s="30">
        <f>ROUND(I126/$L$80,0)</f>
        <v>6</v>
      </c>
      <c r="K126" s="5" t="s">
        <v>76</v>
      </c>
      <c r="L126" s="5">
        <f>0.785*(L125/8)*(L125/8)</f>
        <v>0.19625000000000001</v>
      </c>
      <c r="M126" s="5" t="s">
        <v>77</v>
      </c>
    </row>
    <row r="127" spans="2:17" x14ac:dyDescent="0.3">
      <c r="B127" s="56" t="s">
        <v>92</v>
      </c>
      <c r="C127" s="56"/>
      <c r="D127" s="30">
        <f>ROUND(12000*(P112/2+P117/2),2)</f>
        <v>59353.1</v>
      </c>
      <c r="E127" s="30">
        <v>96</v>
      </c>
      <c r="F127" s="30">
        <f>$B$11-$L$78-$L$79/8-$L$79/8</f>
        <v>5.5</v>
      </c>
      <c r="G127" s="30">
        <f>ROUND(D127/($B$16*E127*F127^2),2)</f>
        <v>27.25</v>
      </c>
      <c r="H127" s="30">
        <f t="shared" si="23"/>
        <v>2.0999999999999999E-3</v>
      </c>
      <c r="I127" s="30">
        <f>ROUND(H127*E127*F127,2)</f>
        <v>1.1100000000000001</v>
      </c>
      <c r="J127" s="30">
        <f>ROUND(I127/$L$80,0)</f>
        <v>6</v>
      </c>
      <c r="K127" s="9"/>
      <c r="L127" s="9"/>
      <c r="M127" s="9"/>
    </row>
    <row r="128" spans="2:17" x14ac:dyDescent="0.3">
      <c r="B128" s="51" t="s">
        <v>95</v>
      </c>
      <c r="C128" s="52"/>
      <c r="D128" s="52"/>
      <c r="E128" s="52"/>
      <c r="F128" s="52"/>
      <c r="G128" s="52"/>
      <c r="H128" s="52"/>
      <c r="I128" s="52"/>
      <c r="J128" s="53"/>
    </row>
    <row r="129" spans="2:10" x14ac:dyDescent="0.3">
      <c r="B129" s="46" t="s">
        <v>62</v>
      </c>
      <c r="C129" s="47"/>
      <c r="D129" s="30">
        <f>ROUND(12000*(Q110/2+Q115/2),2)</f>
        <v>377395.20000000001</v>
      </c>
      <c r="E129" s="30">
        <f>13*12</f>
        <v>156</v>
      </c>
      <c r="F129" s="30">
        <f>$B$11-$L$78-$L$79/8-$L$79/8</f>
        <v>5.5</v>
      </c>
      <c r="G129" s="30">
        <f>ROUND(D129/($B$16*E129*F129^2),2)</f>
        <v>106.63</v>
      </c>
      <c r="H129" s="30">
        <f>ROUND(rho($B$10,$B$9,G129),5)</f>
        <v>2.0999999999999999E-3</v>
      </c>
      <c r="I129" s="30">
        <f>ROUND(H129*E129*F129,2)</f>
        <v>1.8</v>
      </c>
      <c r="J129" s="30">
        <f>ROUND(I129/$L$80,0)</f>
        <v>9</v>
      </c>
    </row>
    <row r="130" spans="2:10" x14ac:dyDescent="0.3">
      <c r="B130" s="37" t="s">
        <v>63</v>
      </c>
      <c r="C130" s="37"/>
      <c r="D130" s="30">
        <f t="shared" ref="D130:D131" si="24">ROUND(12000*(Q111/2+Q116/2),2)</f>
        <v>317520</v>
      </c>
      <c r="E130" s="30">
        <f t="shared" ref="E130:E131" si="25">13*12</f>
        <v>156</v>
      </c>
      <c r="F130" s="30">
        <f>$B$11-$L$78-$L$79/8-$L$79/8</f>
        <v>5.5</v>
      </c>
      <c r="G130" s="30">
        <f>ROUND(D130/($B$16*E130*F130^2),2)</f>
        <v>89.71</v>
      </c>
      <c r="H130" s="30">
        <f t="shared" ref="H130:H131" si="26">ROUND(rho($B$10,$B$9,G130),5)</f>
        <v>2.0999999999999999E-3</v>
      </c>
      <c r="I130" s="30">
        <f>ROUND(H130*E130*F130,2)</f>
        <v>1.8</v>
      </c>
      <c r="J130" s="30">
        <f>ROUND(I130/$L$80,0)</f>
        <v>9</v>
      </c>
    </row>
    <row r="131" spans="2:10" x14ac:dyDescent="0.3">
      <c r="B131" s="56" t="s">
        <v>92</v>
      </c>
      <c r="C131" s="56"/>
      <c r="D131" s="30">
        <f t="shared" si="24"/>
        <v>76056.69</v>
      </c>
      <c r="E131" s="30">
        <f t="shared" si="25"/>
        <v>156</v>
      </c>
      <c r="F131" s="30">
        <f>$B$11-$L$78-$L$79/8-$L$79/8</f>
        <v>5.5</v>
      </c>
      <c r="G131" s="30">
        <f>ROUND(D131/($B$16*E131*F131^2),2)</f>
        <v>21.49</v>
      </c>
      <c r="H131" s="30">
        <f t="shared" si="26"/>
        <v>2.0999999999999999E-3</v>
      </c>
      <c r="I131" s="30">
        <f>ROUND(H131*E131*F131,2)</f>
        <v>1.8</v>
      </c>
      <c r="J131" s="30">
        <f>ROUND(I131/$L$80,0)</f>
        <v>9</v>
      </c>
    </row>
    <row r="132" spans="2:10" x14ac:dyDescent="0.3">
      <c r="B132" s="51" t="s">
        <v>96</v>
      </c>
      <c r="C132" s="52"/>
      <c r="D132" s="52"/>
      <c r="E132" s="52"/>
      <c r="F132" s="52"/>
      <c r="G132" s="52"/>
      <c r="H132" s="52"/>
      <c r="I132" s="52"/>
      <c r="J132" s="53"/>
    </row>
    <row r="133" spans="2:10" x14ac:dyDescent="0.3">
      <c r="B133" s="46" t="s">
        <v>62</v>
      </c>
      <c r="C133" s="47"/>
      <c r="D133" s="30">
        <f>ROUND(12000*(P113),2)</f>
        <v>43594.77</v>
      </c>
      <c r="E133" s="30">
        <v>46.5</v>
      </c>
      <c r="F133" s="30">
        <f>$B$11-$L$78-$L$79/8</f>
        <v>6</v>
      </c>
      <c r="G133" s="30">
        <f>ROUND(D133/($B$16*E133*F133^2),2)</f>
        <v>34.72</v>
      </c>
      <c r="H133" s="30">
        <f>ROUND(rho($B$10,$B$9,G133),5)</f>
        <v>2.0999999999999999E-3</v>
      </c>
      <c r="I133" s="30">
        <f>ROUND(H133*E133*F133,2)</f>
        <v>0.59</v>
      </c>
      <c r="J133" s="30">
        <f>ROUND(I133/$L$80,0)</f>
        <v>3</v>
      </c>
    </row>
    <row r="134" spans="2:10" x14ac:dyDescent="0.3">
      <c r="B134" s="37" t="s">
        <v>63</v>
      </c>
      <c r="C134" s="37"/>
      <c r="D134" s="30">
        <f>ROUND(12000*(P111/2+P116/2),2)</f>
        <v>142884</v>
      </c>
      <c r="E134" s="30">
        <v>46.5</v>
      </c>
      <c r="F134" s="30">
        <f>$B$11-$L$78-$L$79/8</f>
        <v>6</v>
      </c>
      <c r="G134" s="30">
        <f>ROUND(D134/($B$16*E134*F134^2),2)</f>
        <v>113.81</v>
      </c>
      <c r="H134" s="30">
        <f>ROUND(rho($B$10,$B$9,G134),5)</f>
        <v>2.0999999999999999E-3</v>
      </c>
      <c r="I134" s="30">
        <f>ROUND(H134*E134*F134,2)</f>
        <v>0.59</v>
      </c>
      <c r="J134" s="30">
        <f>ROUND(I134/$L$80,0)</f>
        <v>3</v>
      </c>
    </row>
    <row r="135" spans="2:10" x14ac:dyDescent="0.3">
      <c r="B135" s="51" t="s">
        <v>96</v>
      </c>
      <c r="C135" s="54"/>
      <c r="D135" s="54"/>
      <c r="E135" s="54"/>
      <c r="F135" s="54"/>
      <c r="G135" s="54"/>
      <c r="H135" s="54"/>
      <c r="I135" s="54"/>
      <c r="J135" s="55"/>
    </row>
    <row r="136" spans="2:10" x14ac:dyDescent="0.3">
      <c r="B136" s="46" t="s">
        <v>62</v>
      </c>
      <c r="C136" s="47"/>
      <c r="D136" s="30">
        <f>ROUND(12000*(Q118/2),2)</f>
        <v>193754.53</v>
      </c>
      <c r="E136" s="30">
        <v>46.5</v>
      </c>
      <c r="F136" s="30">
        <f>$B$11-$L$78-$L$79/8</f>
        <v>6</v>
      </c>
      <c r="G136" s="30">
        <f>ROUND(D136/($B$16*E136*F136^2),2)</f>
        <v>154.32</v>
      </c>
      <c r="H136" s="30">
        <f>ROUND(rho($B$10,$B$9,G136),5)</f>
        <v>2.63E-3</v>
      </c>
      <c r="I136" s="30">
        <f>ROUND(H136*E136*F136,2)</f>
        <v>0.73</v>
      </c>
      <c r="J136" s="30">
        <f>ROUND(I136/$L$80,0)</f>
        <v>4</v>
      </c>
    </row>
    <row r="137" spans="2:10" x14ac:dyDescent="0.3">
      <c r="B137" s="37" t="s">
        <v>63</v>
      </c>
      <c r="C137" s="37"/>
      <c r="D137" s="30">
        <f>ROUND(12000*(Q119/2),2)</f>
        <v>224893.65</v>
      </c>
      <c r="E137" s="30">
        <v>46.5</v>
      </c>
      <c r="F137" s="30">
        <f>$B$11-$L$78-$L$79/8</f>
        <v>6</v>
      </c>
      <c r="G137" s="30">
        <f>ROUND(D137/($B$16*E137*F137^2),2)</f>
        <v>179.13</v>
      </c>
      <c r="H137" s="30">
        <f>ROUND(rho($B$10,$B$9,G137),5)</f>
        <v>3.0699999999999998E-3</v>
      </c>
      <c r="I137" s="30">
        <f>ROUND(H137*E137*F137,2)</f>
        <v>0.86</v>
      </c>
      <c r="J137" s="30">
        <f>ROUND(I137/$L$80,0)</f>
        <v>4</v>
      </c>
    </row>
    <row r="138" spans="2:10" x14ac:dyDescent="0.3">
      <c r="B138" s="51" t="s">
        <v>97</v>
      </c>
      <c r="C138" s="52"/>
      <c r="D138" s="52"/>
      <c r="E138" s="52"/>
      <c r="F138" s="52"/>
      <c r="G138" s="52"/>
      <c r="H138" s="52"/>
      <c r="I138" s="52"/>
      <c r="J138" s="53"/>
    </row>
    <row r="139" spans="2:10" x14ac:dyDescent="0.3">
      <c r="B139" s="46" t="s">
        <v>62</v>
      </c>
      <c r="C139" s="47"/>
      <c r="D139" s="30">
        <f>ROUND(12000*(Q113+Q118/2),2)</f>
        <v>387509.06</v>
      </c>
      <c r="E139" s="30">
        <v>108</v>
      </c>
      <c r="F139" s="30">
        <f>$B$11-$L$78-$L$79/8</f>
        <v>6</v>
      </c>
      <c r="G139" s="30">
        <f>ROUND(D139/($B$16*E139*F139^2),2)</f>
        <v>132.88999999999999</v>
      </c>
      <c r="H139" s="30">
        <f>ROUND(rho($B$10,$B$9,G139),5)</f>
        <v>2.2599999999999999E-3</v>
      </c>
      <c r="I139" s="30">
        <f t="shared" ref="I139:I140" si="27">ROUND(H139*E139*F139,2)</f>
        <v>1.46</v>
      </c>
      <c r="J139" s="30">
        <f>ROUND(I139/$L$80,0)</f>
        <v>7</v>
      </c>
    </row>
    <row r="140" spans="2:10" x14ac:dyDescent="0.3">
      <c r="B140" s="5" t="s">
        <v>63</v>
      </c>
      <c r="C140" s="5"/>
      <c r="D140" s="30">
        <f>ROUND(12000*(Q114+Q119/2),2)</f>
        <v>449787.3</v>
      </c>
      <c r="E140" s="30">
        <v>108</v>
      </c>
      <c r="F140" s="30">
        <f>$B$11-$L$78-$L$79/8</f>
        <v>6</v>
      </c>
      <c r="G140" s="30">
        <f>ROUND(D140/($B$16*E140*F140^2),2)</f>
        <v>154.25</v>
      </c>
      <c r="H140" s="30">
        <f>ROUND(rho($B$10,$B$9,G140),5)</f>
        <v>2.63E-3</v>
      </c>
      <c r="I140" s="30">
        <f t="shared" si="27"/>
        <v>1.7</v>
      </c>
      <c r="J140" s="30">
        <f>ROUND(I140/$L$80,0)</f>
        <v>9</v>
      </c>
    </row>
    <row r="143" spans="2:10" x14ac:dyDescent="0.3">
      <c r="E143" t="s">
        <v>69</v>
      </c>
    </row>
    <row r="144" spans="2:10" x14ac:dyDescent="0.3">
      <c r="E144" t="s">
        <v>138</v>
      </c>
    </row>
  </sheetData>
  <mergeCells count="151">
    <mergeCell ref="G66:G67"/>
    <mergeCell ref="H66:H67"/>
    <mergeCell ref="I66:I67"/>
    <mergeCell ref="I68:I69"/>
    <mergeCell ref="P63:P65"/>
    <mergeCell ref="Q63:Q65"/>
    <mergeCell ref="K64:L65"/>
    <mergeCell ref="G72:G73"/>
    <mergeCell ref="H72:H73"/>
    <mergeCell ref="I72:I73"/>
    <mergeCell ref="M64:M65"/>
    <mergeCell ref="N64:N65"/>
    <mergeCell ref="H68:H69"/>
    <mergeCell ref="G68:G69"/>
    <mergeCell ref="G70:G71"/>
    <mergeCell ref="H70:H71"/>
    <mergeCell ref="I70:I71"/>
    <mergeCell ref="J64:J65"/>
    <mergeCell ref="E63:I63"/>
    <mergeCell ref="J63:L63"/>
    <mergeCell ref="M63:N63"/>
    <mergeCell ref="O63:O65"/>
    <mergeCell ref="G64:G65"/>
    <mergeCell ref="I64:I65"/>
    <mergeCell ref="E68:E69"/>
    <mergeCell ref="A95:D95"/>
    <mergeCell ref="A50:D50"/>
    <mergeCell ref="B78:J78"/>
    <mergeCell ref="B81:J81"/>
    <mergeCell ref="B84:J84"/>
    <mergeCell ref="B87:J87"/>
    <mergeCell ref="B79:C79"/>
    <mergeCell ref="B82:C82"/>
    <mergeCell ref="B85:C85"/>
    <mergeCell ref="B88:C88"/>
    <mergeCell ref="B77:C77"/>
    <mergeCell ref="A68:A74"/>
    <mergeCell ref="E72:E73"/>
    <mergeCell ref="C66:C67"/>
    <mergeCell ref="C68:C69"/>
    <mergeCell ref="E66:E67"/>
    <mergeCell ref="C70:C71"/>
    <mergeCell ref="C72:C73"/>
    <mergeCell ref="B66:B67"/>
    <mergeCell ref="B68:B69"/>
    <mergeCell ref="D72:D73"/>
    <mergeCell ref="D70:D71"/>
    <mergeCell ref="B63:B65"/>
    <mergeCell ref="C64:C65"/>
    <mergeCell ref="D64:D65"/>
    <mergeCell ref="M108:M109"/>
    <mergeCell ref="N108:N109"/>
    <mergeCell ref="Q107:Q109"/>
    <mergeCell ref="P107:P109"/>
    <mergeCell ref="K77:M77"/>
    <mergeCell ref="E64:F64"/>
    <mergeCell ref="B107:B109"/>
    <mergeCell ref="C108:C109"/>
    <mergeCell ref="D108:D109"/>
    <mergeCell ref="E108:F108"/>
    <mergeCell ref="G108:G109"/>
    <mergeCell ref="H108:H109"/>
    <mergeCell ref="I108:I109"/>
    <mergeCell ref="J108:J109"/>
    <mergeCell ref="K108:L109"/>
    <mergeCell ref="J107:L107"/>
    <mergeCell ref="E107:I107"/>
    <mergeCell ref="C107:D107"/>
    <mergeCell ref="M107:N107"/>
    <mergeCell ref="O107:O109"/>
    <mergeCell ref="H64:H65"/>
    <mergeCell ref="B110:B112"/>
    <mergeCell ref="C110:C112"/>
    <mergeCell ref="D110:D112"/>
    <mergeCell ref="E110:E112"/>
    <mergeCell ref="D59:E59"/>
    <mergeCell ref="A5:F5"/>
    <mergeCell ref="A20:F20"/>
    <mergeCell ref="D7:F7"/>
    <mergeCell ref="J66:J67"/>
    <mergeCell ref="J68:J69"/>
    <mergeCell ref="J70:J71"/>
    <mergeCell ref="J72:J73"/>
    <mergeCell ref="A17:C17"/>
    <mergeCell ref="F66:F67"/>
    <mergeCell ref="F68:F69"/>
    <mergeCell ref="F70:F71"/>
    <mergeCell ref="F72:F73"/>
    <mergeCell ref="B70:B71"/>
    <mergeCell ref="B72:B73"/>
    <mergeCell ref="D66:D67"/>
    <mergeCell ref="D68:D69"/>
    <mergeCell ref="E70:E71"/>
    <mergeCell ref="A24:D24"/>
    <mergeCell ref="C63:D63"/>
    <mergeCell ref="B123:C123"/>
    <mergeCell ref="B124:J124"/>
    <mergeCell ref="B125:C125"/>
    <mergeCell ref="B115:B117"/>
    <mergeCell ref="D115:D117"/>
    <mergeCell ref="C115:C117"/>
    <mergeCell ref="B113:B114"/>
    <mergeCell ref="C113:C114"/>
    <mergeCell ref="B128:J128"/>
    <mergeCell ref="B118:B119"/>
    <mergeCell ref="C118:C119"/>
    <mergeCell ref="D118:D119"/>
    <mergeCell ref="E118:E119"/>
    <mergeCell ref="F118:F119"/>
    <mergeCell ref="G118:G119"/>
    <mergeCell ref="H118:H119"/>
    <mergeCell ref="I118:I119"/>
    <mergeCell ref="D113:D114"/>
    <mergeCell ref="E113:E114"/>
    <mergeCell ref="F113:F114"/>
    <mergeCell ref="G113:G114"/>
    <mergeCell ref="H113:H114"/>
    <mergeCell ref="I113:I114"/>
    <mergeCell ref="G115:G117"/>
    <mergeCell ref="H115:H117"/>
    <mergeCell ref="I115:I117"/>
    <mergeCell ref="G110:G112"/>
    <mergeCell ref="H110:H112"/>
    <mergeCell ref="I110:I112"/>
    <mergeCell ref="F110:F112"/>
    <mergeCell ref="E115:E117"/>
    <mergeCell ref="F115:F117"/>
    <mergeCell ref="K123:M123"/>
    <mergeCell ref="B139:C139"/>
    <mergeCell ref="J32:J33"/>
    <mergeCell ref="I32:I33"/>
    <mergeCell ref="A32:B32"/>
    <mergeCell ref="C32:C33"/>
    <mergeCell ref="D32:D33"/>
    <mergeCell ref="E32:E33"/>
    <mergeCell ref="F32:F33"/>
    <mergeCell ref="G32:G33"/>
    <mergeCell ref="H32:H33"/>
    <mergeCell ref="B138:J138"/>
    <mergeCell ref="B129:C129"/>
    <mergeCell ref="B132:J132"/>
    <mergeCell ref="B133:C133"/>
    <mergeCell ref="B135:J135"/>
    <mergeCell ref="B136:C136"/>
    <mergeCell ref="B131:C131"/>
    <mergeCell ref="J110:J112"/>
    <mergeCell ref="J113:J114"/>
    <mergeCell ref="J115:J117"/>
    <mergeCell ref="J118:J119"/>
    <mergeCell ref="B127:C127"/>
    <mergeCell ref="B126:C126"/>
  </mergeCells>
  <pageMargins left="0.7" right="0.7" top="0.75" bottom="0.75" header="0.3" footer="0.3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38"/>
  <sheetViews>
    <sheetView tabSelected="1" workbookViewId="0">
      <selection activeCell="E120" sqref="E120"/>
    </sheetView>
  </sheetViews>
  <sheetFormatPr defaultRowHeight="14.4" x14ac:dyDescent="0.3"/>
  <cols>
    <col min="1" max="1" width="17" customWidth="1"/>
    <col min="2" max="2" width="9.109375" customWidth="1"/>
    <col min="4" max="4" width="12.44140625" customWidth="1"/>
    <col min="5" max="5" width="13.44140625" customWidth="1"/>
    <col min="6" max="6" width="10.5546875" customWidth="1"/>
    <col min="7" max="7" width="12.33203125" customWidth="1"/>
    <col min="8" max="8" width="14.88671875" bestFit="1" customWidth="1"/>
    <col min="9" max="9" width="16.33203125" bestFit="1" customWidth="1"/>
    <col min="10" max="10" width="10.5546875" customWidth="1"/>
    <col min="11" max="11" width="13.33203125" customWidth="1"/>
    <col min="12" max="12" width="13.44140625" customWidth="1"/>
    <col min="13" max="13" width="12" bestFit="1" customWidth="1"/>
    <col min="14" max="14" width="12" customWidth="1"/>
    <col min="15" max="16" width="15.6640625" bestFit="1" customWidth="1"/>
    <col min="17" max="17" width="14.6640625" bestFit="1" customWidth="1"/>
    <col min="18" max="18" width="15.6640625" bestFit="1" customWidth="1"/>
  </cols>
  <sheetData>
    <row r="1" spans="1:19" ht="15" thickBot="1" x14ac:dyDescent="0.35"/>
    <row r="2" spans="1:19" ht="16.2" thickBot="1" x14ac:dyDescent="0.35">
      <c r="A2" s="77" t="s">
        <v>0</v>
      </c>
      <c r="B2" s="78"/>
      <c r="C2" s="78"/>
      <c r="D2" s="78"/>
      <c r="E2" s="78"/>
      <c r="F2" s="79"/>
      <c r="S2" s="4" t="s">
        <v>46</v>
      </c>
    </row>
    <row r="3" spans="1:19" x14ac:dyDescent="0.3">
      <c r="A3" s="23" t="s">
        <v>4</v>
      </c>
      <c r="B3" s="23" t="s">
        <v>5</v>
      </c>
      <c r="C3" s="23" t="s">
        <v>6</v>
      </c>
      <c r="D3" s="23" t="s">
        <v>4</v>
      </c>
      <c r="E3" s="23" t="s">
        <v>5</v>
      </c>
      <c r="F3" s="23" t="s">
        <v>6</v>
      </c>
      <c r="I3" s="9"/>
      <c r="J3" s="17"/>
      <c r="K3" s="17"/>
      <c r="L3" s="17"/>
      <c r="M3" s="17"/>
      <c r="N3" s="17"/>
    </row>
    <row r="4" spans="1:19" x14ac:dyDescent="0.3">
      <c r="A4" s="21" t="s">
        <v>1</v>
      </c>
      <c r="B4" s="21">
        <v>20</v>
      </c>
      <c r="C4" s="21" t="s">
        <v>7</v>
      </c>
      <c r="D4" s="80" t="s">
        <v>23</v>
      </c>
      <c r="E4" s="81"/>
      <c r="F4" s="82"/>
      <c r="I4" s="29">
        <v>20</v>
      </c>
      <c r="J4" s="9">
        <v>25</v>
      </c>
      <c r="K4" s="9"/>
      <c r="L4" s="9"/>
      <c r="M4" s="9"/>
      <c r="N4" s="9"/>
    </row>
    <row r="5" spans="1:19" ht="15" x14ac:dyDescent="0.35">
      <c r="A5" s="21" t="s">
        <v>2</v>
      </c>
      <c r="B5" s="21">
        <v>25</v>
      </c>
      <c r="C5" s="21" t="s">
        <v>7</v>
      </c>
      <c r="D5" s="21" t="s">
        <v>83</v>
      </c>
      <c r="E5" s="21">
        <v>0</v>
      </c>
      <c r="F5" s="21" t="s">
        <v>10</v>
      </c>
      <c r="I5" s="9"/>
      <c r="J5" s="9"/>
      <c r="K5" s="9"/>
      <c r="L5" s="9"/>
      <c r="M5" s="9"/>
      <c r="N5" s="9"/>
    </row>
    <row r="6" spans="1:19" ht="15" x14ac:dyDescent="0.35">
      <c r="A6" s="21" t="s">
        <v>75</v>
      </c>
      <c r="B6" s="21">
        <v>60000</v>
      </c>
      <c r="C6" s="21" t="s">
        <v>8</v>
      </c>
      <c r="D6" s="21" t="s">
        <v>84</v>
      </c>
      <c r="E6" s="21">
        <v>0</v>
      </c>
      <c r="F6" s="22" t="s">
        <v>10</v>
      </c>
      <c r="I6" s="9"/>
    </row>
    <row r="7" spans="1:19" x14ac:dyDescent="0.3">
      <c r="A7" s="21" t="s">
        <v>3</v>
      </c>
      <c r="B7" s="21">
        <v>3000</v>
      </c>
      <c r="C7" s="21" t="s">
        <v>8</v>
      </c>
      <c r="D7" s="21" t="s">
        <v>24</v>
      </c>
      <c r="E7" s="21">
        <v>0</v>
      </c>
      <c r="F7" s="21" t="s">
        <v>10</v>
      </c>
    </row>
    <row r="8" spans="1:19" x14ac:dyDescent="0.3">
      <c r="A8" s="21" t="s">
        <v>9</v>
      </c>
      <c r="B8" s="21">
        <v>8</v>
      </c>
      <c r="C8" s="21" t="s">
        <v>10</v>
      </c>
      <c r="D8" s="5"/>
      <c r="E8" s="5"/>
      <c r="F8" s="5"/>
    </row>
    <row r="9" spans="1:19" ht="15" x14ac:dyDescent="0.35">
      <c r="A9" s="21" t="s">
        <v>80</v>
      </c>
      <c r="B9" s="21">
        <v>6.75</v>
      </c>
      <c r="C9" s="21" t="s">
        <v>10</v>
      </c>
      <c r="D9" s="5"/>
      <c r="E9" s="5"/>
      <c r="F9" s="5"/>
      <c r="H9" s="28">
        <v>20</v>
      </c>
    </row>
    <row r="10" spans="1:19" ht="15" x14ac:dyDescent="0.35">
      <c r="A10" s="21" t="s">
        <v>81</v>
      </c>
      <c r="B10" s="21">
        <v>3600000</v>
      </c>
      <c r="C10" s="21" t="s">
        <v>8</v>
      </c>
      <c r="D10" s="20"/>
      <c r="E10" s="5"/>
      <c r="F10" s="10"/>
    </row>
    <row r="11" spans="1:19" ht="15" x14ac:dyDescent="0.35">
      <c r="A11" s="21" t="s">
        <v>82</v>
      </c>
      <c r="B11" s="21">
        <v>3600000</v>
      </c>
      <c r="C11" s="21" t="s">
        <v>8</v>
      </c>
      <c r="D11" s="5"/>
      <c r="E11" s="5"/>
      <c r="F11" s="10"/>
    </row>
    <row r="12" spans="1:19" x14ac:dyDescent="0.3">
      <c r="A12" s="21" t="s">
        <v>13</v>
      </c>
      <c r="B12" s="21">
        <v>1</v>
      </c>
      <c r="C12" s="21"/>
      <c r="D12" s="5"/>
      <c r="E12" s="5"/>
      <c r="F12" s="10"/>
    </row>
    <row r="13" spans="1:19" x14ac:dyDescent="0.3">
      <c r="A13" s="21" t="s">
        <v>14</v>
      </c>
      <c r="B13" s="21">
        <v>0.75</v>
      </c>
      <c r="C13" s="21"/>
      <c r="D13" s="5"/>
      <c r="E13" s="5"/>
      <c r="F13" s="5"/>
    </row>
    <row r="14" spans="1:19" x14ac:dyDescent="0.3">
      <c r="A14" s="83" t="s">
        <v>11</v>
      </c>
      <c r="B14" s="83"/>
      <c r="C14" s="83"/>
      <c r="D14" s="5"/>
      <c r="E14" s="10"/>
      <c r="F14" s="5"/>
      <c r="H14" s="28">
        <v>20</v>
      </c>
    </row>
    <row r="15" spans="1:19" ht="15" x14ac:dyDescent="0.35">
      <c r="A15" s="21" t="s">
        <v>85</v>
      </c>
      <c r="B15" s="21">
        <v>18</v>
      </c>
      <c r="C15" s="21" t="s">
        <v>10</v>
      </c>
      <c r="D15" s="5"/>
      <c r="E15" s="5"/>
      <c r="F15" s="5"/>
    </row>
    <row r="16" spans="1:19" ht="15.6" thickBot="1" x14ac:dyDescent="0.4">
      <c r="A16" s="24" t="s">
        <v>86</v>
      </c>
      <c r="B16" s="24">
        <v>24</v>
      </c>
      <c r="C16" s="24" t="s">
        <v>10</v>
      </c>
      <c r="D16" s="25"/>
      <c r="E16" s="25"/>
      <c r="F16" s="25"/>
    </row>
    <row r="17" spans="1:11" ht="18.600000000000001" thickBot="1" x14ac:dyDescent="0.45">
      <c r="A17" s="77" t="s">
        <v>79</v>
      </c>
      <c r="B17" s="78"/>
      <c r="C17" s="78"/>
      <c r="D17" s="78"/>
      <c r="E17" s="78"/>
      <c r="F17" s="79"/>
    </row>
    <row r="18" spans="1:11" ht="15.6" x14ac:dyDescent="0.35">
      <c r="A18" s="26" t="s">
        <v>22</v>
      </c>
      <c r="B18" s="26">
        <f>ibinterior(E5,E6,E7)</f>
        <v>0</v>
      </c>
      <c r="C18" s="26" t="s">
        <v>87</v>
      </c>
      <c r="D18" s="19"/>
      <c r="E18" s="19"/>
      <c r="F18" s="19"/>
    </row>
    <row r="19" spans="1:11" ht="15.6" x14ac:dyDescent="0.35">
      <c r="A19" s="21" t="s">
        <v>88</v>
      </c>
      <c r="B19" s="21">
        <f>ibexterior(E5,E6,E7)</f>
        <v>0</v>
      </c>
      <c r="C19" s="21" t="s">
        <v>87</v>
      </c>
      <c r="D19" s="5"/>
      <c r="E19" s="5"/>
      <c r="F19" s="5"/>
    </row>
    <row r="20" spans="1:11" ht="15" thickBot="1" x14ac:dyDescent="0.35">
      <c r="A20" s="18"/>
      <c r="B20" s="18"/>
      <c r="C20" s="18"/>
      <c r="D20" s="9"/>
      <c r="E20" s="9"/>
      <c r="F20" s="9"/>
    </row>
    <row r="21" spans="1:11" ht="18.600000000000001" thickBot="1" x14ac:dyDescent="0.45">
      <c r="A21" s="85" t="s">
        <v>55</v>
      </c>
      <c r="B21" s="86"/>
      <c r="C21" s="86"/>
      <c r="D21" s="87"/>
    </row>
    <row r="22" spans="1:11" x14ac:dyDescent="0.3">
      <c r="B22" s="3" t="s">
        <v>134</v>
      </c>
      <c r="H22" s="3" t="s">
        <v>137</v>
      </c>
    </row>
    <row r="23" spans="1:11" ht="15" x14ac:dyDescent="0.35">
      <c r="B23" s="1" t="s">
        <v>20</v>
      </c>
      <c r="E23" s="2"/>
      <c r="H23" s="1" t="s">
        <v>20</v>
      </c>
    </row>
    <row r="24" spans="1:11" ht="15.6" x14ac:dyDescent="0.35">
      <c r="B24" s="1" t="s">
        <v>17</v>
      </c>
      <c r="H24" s="1" t="s">
        <v>135</v>
      </c>
    </row>
    <row r="25" spans="1:11" ht="15" x14ac:dyDescent="0.35">
      <c r="B25" s="1" t="s">
        <v>16</v>
      </c>
      <c r="G25" s="6"/>
      <c r="H25" s="1" t="s">
        <v>136</v>
      </c>
    </row>
    <row r="26" spans="1:11" x14ac:dyDescent="0.3">
      <c r="B26" s="1"/>
      <c r="G26" s="6"/>
    </row>
    <row r="27" spans="1:11" x14ac:dyDescent="0.3">
      <c r="B27" s="1"/>
      <c r="G27" s="6"/>
    </row>
    <row r="30" spans="1:11" x14ac:dyDescent="0.3">
      <c r="B30" s="49" t="s">
        <v>125</v>
      </c>
      <c r="C30" s="49"/>
      <c r="D30" s="50" t="s">
        <v>114</v>
      </c>
      <c r="E30" s="50" t="s">
        <v>115</v>
      </c>
      <c r="F30" s="50" t="s">
        <v>112</v>
      </c>
      <c r="G30" s="50" t="s">
        <v>113</v>
      </c>
      <c r="H30" s="50" t="s">
        <v>116</v>
      </c>
      <c r="I30" s="50" t="s">
        <v>117</v>
      </c>
      <c r="J30" s="48" t="s">
        <v>123</v>
      </c>
      <c r="K30" s="48" t="s">
        <v>122</v>
      </c>
    </row>
    <row r="31" spans="1:11" x14ac:dyDescent="0.3">
      <c r="B31" s="30" t="s">
        <v>120</v>
      </c>
      <c r="C31" s="34" t="s">
        <v>121</v>
      </c>
      <c r="D31" s="50"/>
      <c r="E31" s="50"/>
      <c r="F31" s="50"/>
      <c r="G31" s="50"/>
      <c r="H31" s="50"/>
      <c r="I31" s="50"/>
      <c r="J31" s="48"/>
      <c r="K31" s="48"/>
    </row>
    <row r="32" spans="1:11" x14ac:dyDescent="0.3">
      <c r="B32" s="34" t="s">
        <v>104</v>
      </c>
      <c r="C32" s="30" t="s">
        <v>119</v>
      </c>
      <c r="D32" s="30">
        <f>$B$15</f>
        <v>18</v>
      </c>
      <c r="E32" s="30">
        <f>$B$16</f>
        <v>24</v>
      </c>
      <c r="F32" s="30">
        <v>25</v>
      </c>
      <c r="G32" s="30">
        <v>25</v>
      </c>
      <c r="H32" s="30">
        <v>20</v>
      </c>
      <c r="I32" s="30">
        <v>20</v>
      </c>
      <c r="J32" s="30">
        <f>ROUND((144*(quoneway(F32,G32,H32,I32,$B$9,D32,E32,$B$13,$B$12,$B$7))/1000),3)</f>
        <v>0.59499999999999997</v>
      </c>
      <c r="K32" s="30">
        <f>ROUND(qutwoway(F32,G32,H32,I32,$B$9,D32,E32,$B$13,$B$12,$B$7,C32)*144/1000,3)</f>
        <v>0.249</v>
      </c>
    </row>
    <row r="33" spans="1:14" x14ac:dyDescent="0.3">
      <c r="B33" s="34" t="s">
        <v>105</v>
      </c>
      <c r="C33" s="30" t="s">
        <v>119</v>
      </c>
      <c r="D33" s="30">
        <f t="shared" ref="D33:D39" si="0">$B$15</f>
        <v>18</v>
      </c>
      <c r="E33" s="30">
        <f t="shared" ref="E33:E39" si="1">$B$16</f>
        <v>24</v>
      </c>
      <c r="F33" s="30">
        <v>20</v>
      </c>
      <c r="G33" s="30">
        <v>25</v>
      </c>
      <c r="H33" s="30">
        <v>20</v>
      </c>
      <c r="I33" s="30">
        <v>20</v>
      </c>
      <c r="J33" s="30">
        <f t="shared" ref="J33:J39" si="2">ROUND((144*(quoneway(F33,G33,H33,I33,$B$9,D33,E33,$B$13,$B$12,$B$7))/1000),3)</f>
        <v>0.59499999999999997</v>
      </c>
      <c r="K33" s="30">
        <f t="shared" ref="K33:K39" si="3">ROUND(qutwoway(F33,G33,H33,I33,$B$9,D33,E33,$B$13,$B$12,$B$7,C33)*144/1000,3)</f>
        <v>0.27700000000000002</v>
      </c>
    </row>
    <row r="34" spans="1:14" x14ac:dyDescent="0.3">
      <c r="B34" s="34" t="s">
        <v>106</v>
      </c>
      <c r="C34" s="30" t="s">
        <v>118</v>
      </c>
      <c r="D34" s="30">
        <f t="shared" si="0"/>
        <v>18</v>
      </c>
      <c r="E34" s="30">
        <f t="shared" si="1"/>
        <v>24</v>
      </c>
      <c r="F34" s="30">
        <v>0</v>
      </c>
      <c r="G34" s="30">
        <v>20</v>
      </c>
      <c r="H34" s="30">
        <v>20</v>
      </c>
      <c r="I34" s="30">
        <v>20</v>
      </c>
      <c r="J34" s="30">
        <f t="shared" si="2"/>
        <v>0.78900000000000003</v>
      </c>
      <c r="K34" s="30">
        <f t="shared" si="3"/>
        <v>0.54200000000000004</v>
      </c>
    </row>
    <row r="35" spans="1:14" x14ac:dyDescent="0.3">
      <c r="B35" s="34" t="s">
        <v>107</v>
      </c>
      <c r="C35" s="30" t="s">
        <v>118</v>
      </c>
      <c r="D35" s="30">
        <f t="shared" si="0"/>
        <v>18</v>
      </c>
      <c r="E35" s="30">
        <f t="shared" si="1"/>
        <v>24</v>
      </c>
      <c r="F35" s="30">
        <v>25</v>
      </c>
      <c r="G35" s="30">
        <v>25</v>
      </c>
      <c r="H35" s="30">
        <v>20</v>
      </c>
      <c r="I35" s="30">
        <v>20</v>
      </c>
      <c r="J35" s="30">
        <f t="shared" si="2"/>
        <v>0.59499999999999997</v>
      </c>
      <c r="K35" s="30">
        <f t="shared" si="3"/>
        <v>0.23799999999999999</v>
      </c>
    </row>
    <row r="36" spans="1:14" x14ac:dyDescent="0.3">
      <c r="B36" s="34" t="s">
        <v>108</v>
      </c>
      <c r="C36" s="30" t="s">
        <v>119</v>
      </c>
      <c r="D36" s="30">
        <f t="shared" si="0"/>
        <v>18</v>
      </c>
      <c r="E36" s="30">
        <v>24</v>
      </c>
      <c r="F36" s="30">
        <v>20</v>
      </c>
      <c r="G36" s="30">
        <v>25</v>
      </c>
      <c r="H36" s="30">
        <v>20</v>
      </c>
      <c r="I36" s="30">
        <v>20</v>
      </c>
      <c r="J36" s="30">
        <f t="shared" si="2"/>
        <v>0.59499999999999997</v>
      </c>
      <c r="K36" s="30">
        <f t="shared" si="3"/>
        <v>0.27700000000000002</v>
      </c>
    </row>
    <row r="37" spans="1:14" x14ac:dyDescent="0.3">
      <c r="B37" s="34" t="s">
        <v>109</v>
      </c>
      <c r="C37" s="30" t="s">
        <v>119</v>
      </c>
      <c r="D37" s="30">
        <f t="shared" si="0"/>
        <v>18</v>
      </c>
      <c r="E37" s="30">
        <f t="shared" si="1"/>
        <v>24</v>
      </c>
      <c r="F37" s="30">
        <v>0</v>
      </c>
      <c r="G37" s="30">
        <v>20</v>
      </c>
      <c r="H37" s="30">
        <v>20</v>
      </c>
      <c r="I37" s="30">
        <v>20</v>
      </c>
      <c r="J37" s="30">
        <f t="shared" si="2"/>
        <v>0.78900000000000003</v>
      </c>
      <c r="K37" s="30">
        <f t="shared" si="3"/>
        <v>0.54900000000000004</v>
      </c>
    </row>
    <row r="38" spans="1:14" x14ac:dyDescent="0.3">
      <c r="B38" s="34" t="s">
        <v>110</v>
      </c>
      <c r="C38" s="30" t="s">
        <v>118</v>
      </c>
      <c r="D38" s="30">
        <f t="shared" si="0"/>
        <v>18</v>
      </c>
      <c r="E38" s="30">
        <f t="shared" si="1"/>
        <v>24</v>
      </c>
      <c r="F38" s="30">
        <v>25</v>
      </c>
      <c r="G38" s="30">
        <v>25</v>
      </c>
      <c r="H38" s="30">
        <v>0</v>
      </c>
      <c r="I38" s="30">
        <v>20</v>
      </c>
      <c r="J38" s="30">
        <f t="shared" si="2"/>
        <v>0.78900000000000003</v>
      </c>
      <c r="K38" s="30">
        <f t="shared" si="3"/>
        <v>0.42199999999999999</v>
      </c>
    </row>
    <row r="39" spans="1:14" x14ac:dyDescent="0.3">
      <c r="B39" s="34" t="s">
        <v>111</v>
      </c>
      <c r="C39" s="30" t="s">
        <v>118</v>
      </c>
      <c r="D39" s="30">
        <f t="shared" si="0"/>
        <v>18</v>
      </c>
      <c r="E39" s="30">
        <f t="shared" si="1"/>
        <v>24</v>
      </c>
      <c r="F39" s="30">
        <v>20</v>
      </c>
      <c r="G39" s="39">
        <v>25</v>
      </c>
      <c r="H39" s="30">
        <v>0</v>
      </c>
      <c r="I39" s="30">
        <v>20</v>
      </c>
      <c r="J39" s="30">
        <f t="shared" si="2"/>
        <v>0.78900000000000003</v>
      </c>
      <c r="K39" s="30">
        <f t="shared" si="3"/>
        <v>0.46899999999999997</v>
      </c>
    </row>
    <row r="43" spans="1:14" ht="15" thickBot="1" x14ac:dyDescent="0.35">
      <c r="N43" s="4"/>
    </row>
    <row r="44" spans="1:14" ht="16.2" thickBot="1" x14ac:dyDescent="0.35">
      <c r="A44" s="11" t="s">
        <v>18</v>
      </c>
      <c r="B44" s="12"/>
      <c r="C44" s="12"/>
      <c r="D44" s="13"/>
    </row>
    <row r="45" spans="1:14" ht="15" thickBot="1" x14ac:dyDescent="0.35">
      <c r="A45" s="91" t="s">
        <v>12</v>
      </c>
      <c r="B45" s="92"/>
      <c r="C45" s="92"/>
      <c r="D45" s="93"/>
    </row>
    <row r="46" spans="1:14" ht="15.6" x14ac:dyDescent="0.35">
      <c r="B46" s="1" t="s">
        <v>19</v>
      </c>
      <c r="E46" s="1">
        <f>MIN(J32:K39)*0.9</f>
        <v>0.2142</v>
      </c>
      <c r="F46" s="1" t="s">
        <v>70</v>
      </c>
    </row>
    <row r="47" spans="1:14" x14ac:dyDescent="0.3">
      <c r="A47" s="6"/>
      <c r="E47" t="s">
        <v>124</v>
      </c>
      <c r="I47">
        <v>25</v>
      </c>
    </row>
    <row r="48" spans="1:14" x14ac:dyDescent="0.3">
      <c r="B48" s="3" t="s">
        <v>21</v>
      </c>
    </row>
    <row r="49" spans="1:17" ht="15.6" x14ac:dyDescent="0.35">
      <c r="B49" s="2" t="s">
        <v>25</v>
      </c>
    </row>
    <row r="50" spans="1:17" ht="15.6" x14ac:dyDescent="0.35">
      <c r="B50" s="2" t="s">
        <v>26</v>
      </c>
      <c r="E50" s="6"/>
    </row>
    <row r="51" spans="1:17" ht="15.6" x14ac:dyDescent="0.35">
      <c r="B51" s="2" t="s">
        <v>27</v>
      </c>
    </row>
    <row r="52" spans="1:17" ht="15.6" x14ac:dyDescent="0.35">
      <c r="B52" s="2" t="s">
        <v>28</v>
      </c>
      <c r="H52" s="32">
        <v>20</v>
      </c>
    </row>
    <row r="53" spans="1:17" ht="16.2" thickBot="1" x14ac:dyDescent="0.4">
      <c r="B53" s="2" t="s">
        <v>29</v>
      </c>
      <c r="E53">
        <f>ROUND(alphafmint(B4,B5,B8,B18,B19,B10,B11),2)</f>
        <v>0</v>
      </c>
      <c r="H53" s="6"/>
    </row>
    <row r="54" spans="1:17" ht="15" thickBot="1" x14ac:dyDescent="0.35">
      <c r="B54" t="s">
        <v>44</v>
      </c>
      <c r="D54" s="75" t="s">
        <v>94</v>
      </c>
      <c r="E54" s="76"/>
      <c r="L54" s="9"/>
      <c r="M54" s="9"/>
      <c r="N54" s="9"/>
    </row>
    <row r="55" spans="1:17" x14ac:dyDescent="0.3">
      <c r="B55" t="s">
        <v>93</v>
      </c>
      <c r="E55">
        <f>cvalue(E5,E6,B8,B15,D54)</f>
        <v>2246.4</v>
      </c>
      <c r="L55" s="9"/>
      <c r="M55" s="9"/>
      <c r="N55" s="9"/>
    </row>
    <row r="56" spans="1:17" x14ac:dyDescent="0.3">
      <c r="L56" s="9"/>
      <c r="M56" s="9"/>
      <c r="N56" s="9"/>
    </row>
    <row r="57" spans="1:17" ht="15.6" x14ac:dyDescent="0.3">
      <c r="B57" s="14" t="s">
        <v>30</v>
      </c>
      <c r="C57" s="14"/>
      <c r="D57" s="14"/>
      <c r="L57" s="9"/>
      <c r="M57" s="9"/>
      <c r="N57" s="9"/>
    </row>
    <row r="58" spans="1:17" ht="30" customHeight="1" x14ac:dyDescent="0.3">
      <c r="B58" s="61"/>
      <c r="C58" s="50" t="s">
        <v>36</v>
      </c>
      <c r="D58" s="50"/>
      <c r="E58" s="50" t="s">
        <v>45</v>
      </c>
      <c r="F58" s="50"/>
      <c r="G58" s="50"/>
      <c r="H58" s="50"/>
      <c r="I58" s="50"/>
      <c r="J58" s="50" t="s">
        <v>73</v>
      </c>
      <c r="K58" s="50"/>
      <c r="L58" s="50"/>
      <c r="M58" s="69" t="s">
        <v>33</v>
      </c>
      <c r="N58" s="69"/>
      <c r="O58" s="69" t="s">
        <v>132</v>
      </c>
      <c r="P58" s="69" t="s">
        <v>130</v>
      </c>
      <c r="Q58" s="69" t="s">
        <v>131</v>
      </c>
    </row>
    <row r="59" spans="1:17" x14ac:dyDescent="0.3">
      <c r="B59" s="62"/>
      <c r="C59" s="50" t="s">
        <v>31</v>
      </c>
      <c r="D59" s="50" t="s">
        <v>37</v>
      </c>
      <c r="E59" s="50" t="s">
        <v>34</v>
      </c>
      <c r="F59" s="50"/>
      <c r="G59" s="69" t="s">
        <v>48</v>
      </c>
      <c r="H59" s="69" t="s">
        <v>49</v>
      </c>
      <c r="I59" s="50" t="s">
        <v>47</v>
      </c>
      <c r="J59" s="50" t="s">
        <v>5</v>
      </c>
      <c r="K59" s="50" t="s">
        <v>50</v>
      </c>
      <c r="L59" s="50"/>
      <c r="M59" s="69" t="s">
        <v>51</v>
      </c>
      <c r="N59" s="50" t="s">
        <v>52</v>
      </c>
      <c r="O59" s="69"/>
      <c r="P59" s="50"/>
      <c r="Q59" s="69"/>
    </row>
    <row r="60" spans="1:17" x14ac:dyDescent="0.3">
      <c r="B60" s="63"/>
      <c r="C60" s="50"/>
      <c r="D60" s="50"/>
      <c r="E60" s="31" t="s">
        <v>1</v>
      </c>
      <c r="F60" s="31" t="s">
        <v>2</v>
      </c>
      <c r="G60" s="69"/>
      <c r="H60" s="69"/>
      <c r="I60" s="50"/>
      <c r="J60" s="50"/>
      <c r="K60" s="50"/>
      <c r="L60" s="50"/>
      <c r="M60" s="69"/>
      <c r="N60" s="50"/>
      <c r="O60" s="69"/>
      <c r="P60" s="50"/>
      <c r="Q60" s="69"/>
    </row>
    <row r="61" spans="1:17" x14ac:dyDescent="0.3">
      <c r="B61" s="50" t="s">
        <v>40</v>
      </c>
      <c r="C61" s="69" t="s">
        <v>38</v>
      </c>
      <c r="D61" s="69" t="s">
        <v>32</v>
      </c>
      <c r="E61" s="50">
        <v>20</v>
      </c>
      <c r="F61" s="70">
        <v>25</v>
      </c>
      <c r="G61" s="61">
        <v>20</v>
      </c>
      <c r="H61" s="61">
        <v>25</v>
      </c>
      <c r="I61" s="61">
        <f>(G61+H61)/2</f>
        <v>22.5</v>
      </c>
      <c r="J61" s="58">
        <f>(E46*I61*(E61-B16/12)^2)/8</f>
        <v>195.18974999999998</v>
      </c>
      <c r="K61" s="8" t="s">
        <v>62</v>
      </c>
      <c r="L61" s="27">
        <f>0.35*J61</f>
        <v>68.316412499999984</v>
      </c>
      <c r="M61" s="8">
        <f>positive(E61,F61,$B$10,$B$11,$B$18,$B$19,$B$15,$B$16,$E$5,$B$8,B61,C61,$D$54,I61)</f>
        <v>60</v>
      </c>
      <c r="N61" s="27">
        <f>M61*L61/100</f>
        <v>40.989847499999989</v>
      </c>
      <c r="O61" s="27">
        <f>0.85*N61</f>
        <v>34.84137037499999</v>
      </c>
      <c r="P61" s="27">
        <f>0.15*N61</f>
        <v>6.1484771249999985</v>
      </c>
      <c r="Q61" s="27">
        <f>(100-M61)*L61/100</f>
        <v>27.326564999999992</v>
      </c>
    </row>
    <row r="62" spans="1:17" x14ac:dyDescent="0.3">
      <c r="B62" s="50"/>
      <c r="C62" s="69"/>
      <c r="D62" s="69"/>
      <c r="E62" s="50"/>
      <c r="F62" s="84"/>
      <c r="G62" s="63"/>
      <c r="H62" s="63"/>
      <c r="I62" s="63"/>
      <c r="J62" s="59"/>
      <c r="K62" s="8" t="s">
        <v>35</v>
      </c>
      <c r="L62" s="27">
        <f>0.65*J61</f>
        <v>126.87333749999999</v>
      </c>
      <c r="M62" s="8">
        <f>negative(E61,F61,$B$10,$B$11,$B$18,$B$19,$B$15,$B$16,$E$5,$B$8,B61,C61,$D$54,I61)</f>
        <v>75</v>
      </c>
      <c r="N62" s="27">
        <f>M62*L62/100</f>
        <v>95.155003124999979</v>
      </c>
      <c r="O62" s="27">
        <f>0.85*N62</f>
        <v>80.881752656249986</v>
      </c>
      <c r="P62" s="27">
        <f>0.15*N62</f>
        <v>14.273250468749996</v>
      </c>
      <c r="Q62" s="27">
        <f>(100-M62)*L62/100</f>
        <v>31.718334374999998</v>
      </c>
    </row>
    <row r="63" spans="1:17" x14ac:dyDescent="0.3">
      <c r="A63" s="40"/>
      <c r="B63" s="50" t="s">
        <v>41</v>
      </c>
      <c r="C63" s="69" t="s">
        <v>38</v>
      </c>
      <c r="D63" s="69" t="s">
        <v>32</v>
      </c>
      <c r="E63" s="50">
        <v>25</v>
      </c>
      <c r="F63" s="70">
        <v>20</v>
      </c>
      <c r="G63" s="61">
        <v>20</v>
      </c>
      <c r="H63" s="61">
        <v>20</v>
      </c>
      <c r="I63" s="61">
        <f t="shared" ref="I63:I65" si="4">(G63+H63)/2</f>
        <v>20</v>
      </c>
      <c r="J63" s="58">
        <f>(E46*I63*(E63-B15/12)^2)/8</f>
        <v>295.72987499999999</v>
      </c>
      <c r="K63" s="8" t="s">
        <v>62</v>
      </c>
      <c r="L63" s="27">
        <f>0.35*J63</f>
        <v>103.50545624999999</v>
      </c>
      <c r="M63" s="8">
        <f>positive(E63,F63,$B$10,$B$11,$B$18,$B$19,$B$15,$B$16,$E$5,$B$8,B63,C63,$D$54,I63)</f>
        <v>60</v>
      </c>
      <c r="N63" s="27">
        <f t="shared" ref="N63:N68" si="5">M63*L63/100</f>
        <v>62.10327375</v>
      </c>
      <c r="O63" s="27">
        <f t="shared" ref="O63:O68" si="6">0.85*N63</f>
        <v>52.787782687499998</v>
      </c>
      <c r="P63" s="27">
        <f t="shared" ref="P63:P68" si="7">0.15*N63</f>
        <v>9.3154910624999996</v>
      </c>
      <c r="Q63" s="27">
        <f t="shared" ref="Q63:Q68" si="8">(100-M63)*L63/100</f>
        <v>41.402182500000002</v>
      </c>
    </row>
    <row r="64" spans="1:17" x14ac:dyDescent="0.3">
      <c r="A64" s="40"/>
      <c r="B64" s="50"/>
      <c r="C64" s="69"/>
      <c r="D64" s="69"/>
      <c r="E64" s="50"/>
      <c r="F64" s="71"/>
      <c r="G64" s="63"/>
      <c r="H64" s="63"/>
      <c r="I64" s="63"/>
      <c r="J64" s="59"/>
      <c r="K64" s="8" t="s">
        <v>35</v>
      </c>
      <c r="L64" s="27">
        <f>0.65*J63</f>
        <v>192.22441875000001</v>
      </c>
      <c r="M64" s="8">
        <f>negative(E63,F63,$B$10,$B$11,$B$18,$B$19,$B$15,$B$16,$E$5,$B$8,B63,C63,$D$54,I63)</f>
        <v>75</v>
      </c>
      <c r="N64" s="27">
        <f t="shared" si="5"/>
        <v>144.1683140625</v>
      </c>
      <c r="O64" s="27">
        <f t="shared" si="6"/>
        <v>122.54306695312499</v>
      </c>
      <c r="P64" s="27">
        <f t="shared" si="7"/>
        <v>21.625247109375</v>
      </c>
      <c r="Q64" s="27">
        <f t="shared" si="8"/>
        <v>48.056104687500003</v>
      </c>
    </row>
    <row r="65" spans="1:17" x14ac:dyDescent="0.3">
      <c r="A65" s="40"/>
      <c r="B65" s="66" t="s">
        <v>42</v>
      </c>
      <c r="C65" s="69" t="s">
        <v>38</v>
      </c>
      <c r="D65" s="69" t="s">
        <v>32</v>
      </c>
      <c r="E65" s="50">
        <v>20</v>
      </c>
      <c r="F65" s="70">
        <v>25</v>
      </c>
      <c r="G65" s="61">
        <v>25</v>
      </c>
      <c r="H65" s="61">
        <v>25</v>
      </c>
      <c r="I65" s="61">
        <f t="shared" si="4"/>
        <v>25</v>
      </c>
      <c r="J65" s="58">
        <f>(E46*I65*(E65-B16/12)^2)/8</f>
        <v>216.87750000000003</v>
      </c>
      <c r="K65" s="8" t="s">
        <v>62</v>
      </c>
      <c r="L65" s="27">
        <f t="shared" ref="L65" si="9">0.35*J65</f>
        <v>75.907125000000008</v>
      </c>
      <c r="M65" s="8">
        <f>positive(E65,F65,$B$10,$B$11,$B$18,$B$19,$B$15,$B$16,$E$5,$B$8,B65,C65,$D$54,I65)</f>
        <v>60</v>
      </c>
      <c r="N65" s="27">
        <f t="shared" si="5"/>
        <v>45.544275000000006</v>
      </c>
      <c r="O65" s="27">
        <f t="shared" si="6"/>
        <v>38.712633750000002</v>
      </c>
      <c r="P65" s="27">
        <f t="shared" si="7"/>
        <v>6.8316412500000006</v>
      </c>
      <c r="Q65" s="27">
        <f t="shared" si="8"/>
        <v>30.362850000000002</v>
      </c>
    </row>
    <row r="66" spans="1:17" x14ac:dyDescent="0.3">
      <c r="A66" s="40"/>
      <c r="B66" s="68"/>
      <c r="C66" s="69"/>
      <c r="D66" s="69"/>
      <c r="E66" s="50"/>
      <c r="F66" s="84"/>
      <c r="G66" s="63"/>
      <c r="H66" s="63"/>
      <c r="I66" s="63"/>
      <c r="J66" s="59"/>
      <c r="K66" s="8" t="s">
        <v>35</v>
      </c>
      <c r="L66" s="27">
        <f t="shared" ref="L66" si="10">0.65*J65</f>
        <v>140.97037500000002</v>
      </c>
      <c r="M66" s="8">
        <f>negative(E65,F65,$B$10,$B$11,$B$18,$B$19,$B$15,$B$16,$E$5,$B$8,B65,C65,$D$54,I65)</f>
        <v>75</v>
      </c>
      <c r="N66" s="27">
        <f t="shared" si="5"/>
        <v>105.72778125000001</v>
      </c>
      <c r="O66" s="27">
        <f t="shared" si="6"/>
        <v>89.868614062500001</v>
      </c>
      <c r="P66" s="27">
        <f t="shared" si="7"/>
        <v>15.859167187500001</v>
      </c>
      <c r="Q66" s="27">
        <f t="shared" si="8"/>
        <v>35.242593750000005</v>
      </c>
    </row>
    <row r="67" spans="1:17" x14ac:dyDescent="0.3">
      <c r="A67" s="40"/>
      <c r="B67" s="50" t="s">
        <v>43</v>
      </c>
      <c r="C67" s="69" t="s">
        <v>38</v>
      </c>
      <c r="D67" s="69" t="s">
        <v>32</v>
      </c>
      <c r="E67" s="50">
        <v>25</v>
      </c>
      <c r="F67" s="50">
        <v>20</v>
      </c>
      <c r="G67" s="61">
        <v>20</v>
      </c>
      <c r="H67" s="61">
        <v>20</v>
      </c>
      <c r="I67" s="61">
        <f t="shared" ref="I67" si="11">(G67+H67)/2</f>
        <v>20</v>
      </c>
      <c r="J67" s="58">
        <f>(E46*I67*(E67-B15/12)^2)/8</f>
        <v>295.72987499999999</v>
      </c>
      <c r="K67" s="8" t="s">
        <v>62</v>
      </c>
      <c r="L67" s="27">
        <f t="shared" ref="L67" si="12">0.35*J67</f>
        <v>103.50545624999999</v>
      </c>
      <c r="M67" s="8">
        <f>positive(E67,F67,$B$10,$B$11,$B$18,$B$19,$B$15,$B$16,$E$5,$B$8,B67,C67,$D$54,I67)</f>
        <v>60</v>
      </c>
      <c r="N67" s="27">
        <f t="shared" si="5"/>
        <v>62.10327375</v>
      </c>
      <c r="O67" s="27">
        <f t="shared" si="6"/>
        <v>52.787782687499998</v>
      </c>
      <c r="P67" s="27">
        <f t="shared" si="7"/>
        <v>9.3154910624999996</v>
      </c>
      <c r="Q67" s="27">
        <f t="shared" si="8"/>
        <v>41.402182500000002</v>
      </c>
    </row>
    <row r="68" spans="1:17" x14ac:dyDescent="0.3">
      <c r="A68" s="40"/>
      <c r="B68" s="50"/>
      <c r="C68" s="69"/>
      <c r="D68" s="69"/>
      <c r="E68" s="50"/>
      <c r="F68" s="50"/>
      <c r="G68" s="63"/>
      <c r="H68" s="63"/>
      <c r="I68" s="63"/>
      <c r="J68" s="59"/>
      <c r="K68" s="8" t="s">
        <v>35</v>
      </c>
      <c r="L68" s="27">
        <f t="shared" ref="L68" si="13">0.65*J67</f>
        <v>192.22441875000001</v>
      </c>
      <c r="M68" s="8">
        <f>negative(E67,F67,$B$10,$B$11,$B$18,$B$19,$B$15,$B$16,$E$5,$B$8,B67,C67,$D$54,I67)</f>
        <v>75</v>
      </c>
      <c r="N68" s="27">
        <f t="shared" si="5"/>
        <v>144.1683140625</v>
      </c>
      <c r="O68" s="27">
        <f t="shared" si="6"/>
        <v>122.54306695312499</v>
      </c>
      <c r="P68" s="27">
        <f t="shared" si="7"/>
        <v>21.625247109375</v>
      </c>
      <c r="Q68" s="27">
        <f t="shared" si="8"/>
        <v>48.056104687500003</v>
      </c>
    </row>
    <row r="69" spans="1:17" x14ac:dyDescent="0.3">
      <c r="A69" s="40"/>
      <c r="E69" t="s">
        <v>54</v>
      </c>
    </row>
    <row r="70" spans="1:17" x14ac:dyDescent="0.3">
      <c r="A70" s="7"/>
    </row>
    <row r="71" spans="1:17" ht="15.6" x14ac:dyDescent="0.3">
      <c r="A71" s="7"/>
      <c r="B71" s="14" t="s">
        <v>56</v>
      </c>
    </row>
    <row r="72" spans="1:17" x14ac:dyDescent="0.3">
      <c r="A72" s="7"/>
      <c r="B72" s="64"/>
      <c r="C72" s="65"/>
      <c r="D72" s="35" t="s">
        <v>74</v>
      </c>
      <c r="E72" s="35" t="s">
        <v>71</v>
      </c>
      <c r="F72" s="35" t="s">
        <v>72</v>
      </c>
      <c r="G72" s="35" t="s">
        <v>57</v>
      </c>
      <c r="H72" s="36" t="s">
        <v>58</v>
      </c>
      <c r="I72" s="36" t="s">
        <v>128</v>
      </c>
      <c r="J72" s="36" t="s">
        <v>60</v>
      </c>
      <c r="K72" s="43" t="s">
        <v>78</v>
      </c>
      <c r="L72" s="44"/>
      <c r="M72" s="45"/>
    </row>
    <row r="73" spans="1:17" x14ac:dyDescent="0.3">
      <c r="A73" s="7"/>
      <c r="B73" s="51" t="s">
        <v>98</v>
      </c>
      <c r="C73" s="52"/>
      <c r="D73" s="52"/>
      <c r="E73" s="52"/>
      <c r="F73" s="52"/>
      <c r="G73" s="52"/>
      <c r="H73" s="52"/>
      <c r="I73" s="52"/>
      <c r="J73" s="53"/>
      <c r="K73" s="5" t="s">
        <v>67</v>
      </c>
      <c r="L73" s="5">
        <v>0.5</v>
      </c>
      <c r="M73" s="5" t="s">
        <v>10</v>
      </c>
      <c r="Q73" t="s">
        <v>124</v>
      </c>
    </row>
    <row r="74" spans="1:17" x14ac:dyDescent="0.3">
      <c r="A74" s="7"/>
      <c r="B74" s="102" t="s">
        <v>62</v>
      </c>
      <c r="C74" s="103"/>
      <c r="D74" s="30">
        <f>ROUND(12000*(P63/2+P67/2),2)</f>
        <v>111785.89</v>
      </c>
      <c r="E74" s="30">
        <f>10*12-$B$16</f>
        <v>96</v>
      </c>
      <c r="F74" s="30">
        <f>$B$8-$L$73-$L$74/8-$L$74/8</f>
        <v>6.5</v>
      </c>
      <c r="G74" s="30">
        <f>ROUND(D74/($B$13*E74*F74^2),2)</f>
        <v>36.75</v>
      </c>
      <c r="H74" s="30">
        <f>ROUND(rho($B$7,$B$6,G74),5)</f>
        <v>2.0999999999999999E-3</v>
      </c>
      <c r="I74" s="30">
        <f>ROUND(H74*E74*F74,2)</f>
        <v>1.31</v>
      </c>
      <c r="J74" s="30">
        <f>ROUND(I74/$L$75,0)</f>
        <v>7</v>
      </c>
      <c r="K74" s="5" t="s">
        <v>68</v>
      </c>
      <c r="L74" s="5">
        <v>4</v>
      </c>
      <c r="M74" s="5"/>
    </row>
    <row r="75" spans="1:17" x14ac:dyDescent="0.3">
      <c r="A75" s="7"/>
      <c r="B75" s="5" t="s">
        <v>63</v>
      </c>
      <c r="C75" s="5"/>
      <c r="D75" s="30">
        <f>ROUND(12000*(P64/2+P68/2),2)</f>
        <v>259502.97</v>
      </c>
      <c r="E75" s="30">
        <f>10*12-$B$16</f>
        <v>96</v>
      </c>
      <c r="F75" s="30">
        <f>$B$8-$L$73-$L$74/8-$L$74/8</f>
        <v>6.5</v>
      </c>
      <c r="G75" s="30">
        <f>ROUND(D75/($B$13*E75*F75^2),2)</f>
        <v>85.31</v>
      </c>
      <c r="H75" s="30">
        <f t="shared" ref="H75:H84" si="14">ROUND(rho($B$7,$B$6,G75),5)</f>
        <v>2.0999999999999999E-3</v>
      </c>
      <c r="I75" s="30">
        <f>ROUND(H75*E75*F75,2)</f>
        <v>1.31</v>
      </c>
      <c r="J75" s="30">
        <f>ROUND(I75/$L$75,0)</f>
        <v>7</v>
      </c>
      <c r="K75" s="5" t="s">
        <v>76</v>
      </c>
      <c r="L75" s="5">
        <f>0.785*(L74/8)*(L74/8)</f>
        <v>0.19625000000000001</v>
      </c>
      <c r="M75" s="5" t="s">
        <v>77</v>
      </c>
    </row>
    <row r="76" spans="1:17" x14ac:dyDescent="0.3">
      <c r="A76" s="7"/>
      <c r="B76" s="51" t="s">
        <v>99</v>
      </c>
      <c r="C76" s="52"/>
      <c r="D76" s="52"/>
      <c r="E76" s="52"/>
      <c r="F76" s="52"/>
      <c r="G76" s="52"/>
      <c r="H76" s="52"/>
      <c r="I76" s="52"/>
      <c r="J76" s="53"/>
    </row>
    <row r="77" spans="1:17" x14ac:dyDescent="0.3">
      <c r="A77" s="7"/>
      <c r="B77" s="102" t="s">
        <v>62</v>
      </c>
      <c r="C77" s="103"/>
      <c r="D77" s="30">
        <f>ROUND(12000*(Q63/2+Q67/2),2)</f>
        <v>496826.19</v>
      </c>
      <c r="E77" s="30">
        <f>10*12</f>
        <v>120</v>
      </c>
      <c r="F77" s="30">
        <f>$B$8-$L$73-$L$74/8-$L$74/8</f>
        <v>6.5</v>
      </c>
      <c r="G77" s="30">
        <f>ROUND(D77/($B$13*E77*F77^2),2)</f>
        <v>130.66</v>
      </c>
      <c r="H77" s="30">
        <f t="shared" si="14"/>
        <v>2.2399999999999998E-3</v>
      </c>
      <c r="I77" s="30">
        <f>ROUND(H77*E77*F77,2)</f>
        <v>1.75</v>
      </c>
      <c r="J77" s="30">
        <f>ROUND(I77/$L$75,0)</f>
        <v>9</v>
      </c>
    </row>
    <row r="78" spans="1:17" x14ac:dyDescent="0.3">
      <c r="A78" s="7"/>
      <c r="B78" s="5" t="s">
        <v>63</v>
      </c>
      <c r="C78" s="5"/>
      <c r="D78" s="30">
        <f>ROUND(12000*(Q64/2+Q68/2),2)</f>
        <v>576673.26</v>
      </c>
      <c r="E78" s="30">
        <f>10*12</f>
        <v>120</v>
      </c>
      <c r="F78" s="30">
        <f>$B$8-$L$73-$L$74/8-$L$74/8</f>
        <v>6.5</v>
      </c>
      <c r="G78" s="30">
        <f>ROUND(D78/($B$13*E78*F78^2),2)</f>
        <v>151.66</v>
      </c>
      <c r="H78" s="30">
        <f t="shared" si="14"/>
        <v>2.6099999999999999E-3</v>
      </c>
      <c r="I78" s="30">
        <f>ROUND(H78*E78*F78,2)</f>
        <v>2.04</v>
      </c>
      <c r="J78" s="30">
        <f>ROUND(I78/$L$75,0)</f>
        <v>10</v>
      </c>
    </row>
    <row r="79" spans="1:17" x14ac:dyDescent="0.3">
      <c r="A79" s="7"/>
      <c r="B79" s="51" t="s">
        <v>100</v>
      </c>
      <c r="C79" s="52"/>
      <c r="D79" s="52"/>
      <c r="E79" s="52"/>
      <c r="F79" s="52"/>
      <c r="G79" s="52"/>
      <c r="H79" s="52"/>
      <c r="I79" s="52"/>
      <c r="J79" s="53"/>
    </row>
    <row r="80" spans="1:17" x14ac:dyDescent="0.3">
      <c r="A80" s="7"/>
      <c r="B80" s="102" t="s">
        <v>62</v>
      </c>
      <c r="C80" s="103"/>
      <c r="D80" s="30">
        <f>ROUND(12000*(P61/2+P65/2),2)</f>
        <v>77880.710000000006</v>
      </c>
      <c r="E80" s="30">
        <f>10*12-$B$15</f>
        <v>102</v>
      </c>
      <c r="F80" s="30">
        <f>$B$8-$L$73-$L$74/8</f>
        <v>7</v>
      </c>
      <c r="G80" s="30">
        <f>ROUND(D80/($B$13*E80*F80^2),2)</f>
        <v>20.78</v>
      </c>
      <c r="H80" s="30">
        <f t="shared" si="14"/>
        <v>2.0999999999999999E-3</v>
      </c>
      <c r="I80" s="30">
        <f>ROUND(H80*E80*F80,2)</f>
        <v>1.5</v>
      </c>
      <c r="J80" s="30">
        <f>ROUND(I80/$L$75,0)</f>
        <v>8</v>
      </c>
    </row>
    <row r="81" spans="1:12" x14ac:dyDescent="0.3">
      <c r="A81" s="7"/>
      <c r="B81" s="5" t="s">
        <v>63</v>
      </c>
      <c r="C81" s="5"/>
      <c r="D81" s="30">
        <f>ROUND(12000*(P62/2+P66/2),2)</f>
        <v>180794.51</v>
      </c>
      <c r="E81" s="30">
        <f>10*12-$B$15</f>
        <v>102</v>
      </c>
      <c r="F81" s="30">
        <f>$B$8-$L$73-$L$74/8</f>
        <v>7</v>
      </c>
      <c r="G81" s="30">
        <f>ROUND(D81/($B$13*E81*F81^2),2)</f>
        <v>48.23</v>
      </c>
      <c r="H81" s="30">
        <f t="shared" si="14"/>
        <v>2.0999999999999999E-3</v>
      </c>
      <c r="I81" s="30">
        <f>ROUND(H81*E81*F81,2)</f>
        <v>1.5</v>
      </c>
      <c r="J81" s="30">
        <f>ROUND(I81/$L$75,0)</f>
        <v>8</v>
      </c>
    </row>
    <row r="82" spans="1:12" x14ac:dyDescent="0.3">
      <c r="A82" s="7"/>
      <c r="B82" s="51" t="s">
        <v>101</v>
      </c>
      <c r="C82" s="52"/>
      <c r="D82" s="52"/>
      <c r="E82" s="52"/>
      <c r="F82" s="52"/>
      <c r="G82" s="52"/>
      <c r="H82" s="52"/>
      <c r="I82" s="52"/>
      <c r="J82" s="53"/>
    </row>
    <row r="83" spans="1:12" x14ac:dyDescent="0.3">
      <c r="A83" s="7"/>
      <c r="B83" s="102" t="s">
        <v>62</v>
      </c>
      <c r="C83" s="103"/>
      <c r="D83" s="30">
        <f>ROUND(12000*(Q61/2+Q65/2),2)</f>
        <v>346136.49</v>
      </c>
      <c r="E83" s="30">
        <f>15*12</f>
        <v>180</v>
      </c>
      <c r="F83" s="30">
        <f>$B$8-$L$73-$L$74/8</f>
        <v>7</v>
      </c>
      <c r="G83" s="30">
        <f>ROUND(D83/($B$13*E83*F83^2),2)</f>
        <v>52.33</v>
      </c>
      <c r="H83" s="30">
        <f t="shared" si="14"/>
        <v>2.0999999999999999E-3</v>
      </c>
      <c r="I83" s="30">
        <f>ROUND(H83*E83*F83,2)</f>
        <v>2.65</v>
      </c>
      <c r="J83" s="30">
        <f>ROUND(I83/$L$75,0)</f>
        <v>14</v>
      </c>
    </row>
    <row r="84" spans="1:12" x14ac:dyDescent="0.3">
      <c r="A84" s="7"/>
      <c r="B84" s="5" t="s">
        <v>63</v>
      </c>
      <c r="C84" s="5"/>
      <c r="D84" s="30">
        <f>ROUND(12000*(Q62/2+Q66/2),2)</f>
        <v>401765.57</v>
      </c>
      <c r="E84" s="30">
        <f>15*12</f>
        <v>180</v>
      </c>
      <c r="F84" s="30">
        <f>$B$8-$L$73-$L$74/8</f>
        <v>7</v>
      </c>
      <c r="G84" s="30">
        <f>ROUND(D84/($B$13*E84*F84^2),2)</f>
        <v>60.74</v>
      </c>
      <c r="H84" s="30">
        <f t="shared" si="14"/>
        <v>2.0999999999999999E-3</v>
      </c>
      <c r="I84" s="30">
        <f>ROUND(H84*E84*F84,2)</f>
        <v>2.65</v>
      </c>
      <c r="J84" s="30">
        <f>ROUND(I84/$L$75,0)</f>
        <v>14</v>
      </c>
    </row>
    <row r="85" spans="1:12" x14ac:dyDescent="0.3">
      <c r="A85" s="7"/>
    </row>
    <row r="86" spans="1:12" x14ac:dyDescent="0.3">
      <c r="A86" s="7"/>
      <c r="E86" t="s">
        <v>69</v>
      </c>
    </row>
    <row r="87" spans="1:12" x14ac:dyDescent="0.3">
      <c r="A87" s="7"/>
    </row>
    <row r="88" spans="1:12" x14ac:dyDescent="0.3">
      <c r="A88" s="7"/>
    </row>
    <row r="89" spans="1:12" ht="15" thickBot="1" x14ac:dyDescent="0.35"/>
    <row r="90" spans="1:12" ht="15" thickBot="1" x14ac:dyDescent="0.35">
      <c r="A90" s="91" t="s">
        <v>53</v>
      </c>
      <c r="B90" s="92"/>
      <c r="C90" s="92"/>
      <c r="D90" s="93"/>
    </row>
    <row r="91" spans="1:12" x14ac:dyDescent="0.3">
      <c r="L91" s="28">
        <v>25</v>
      </c>
    </row>
    <row r="96" spans="1:12" x14ac:dyDescent="0.3">
      <c r="J96">
        <v>20</v>
      </c>
    </row>
    <row r="101" spans="2:18" ht="15.6" x14ac:dyDescent="0.3">
      <c r="B101" s="14" t="s">
        <v>30</v>
      </c>
      <c r="C101" s="14"/>
      <c r="D101" s="14"/>
      <c r="L101" s="9"/>
      <c r="M101" s="9"/>
      <c r="N101" s="9"/>
    </row>
    <row r="102" spans="2:18" x14ac:dyDescent="0.3">
      <c r="B102" s="61"/>
      <c r="C102" s="88" t="s">
        <v>36</v>
      </c>
      <c r="D102" s="90"/>
      <c r="E102" s="50" t="s">
        <v>133</v>
      </c>
      <c r="F102" s="50"/>
      <c r="G102" s="50"/>
      <c r="H102" s="50"/>
      <c r="I102" s="50"/>
      <c r="J102" s="50" t="s">
        <v>73</v>
      </c>
      <c r="K102" s="50"/>
      <c r="L102" s="50"/>
      <c r="M102" s="69" t="s">
        <v>33</v>
      </c>
      <c r="N102" s="69"/>
      <c r="O102" s="69" t="s">
        <v>132</v>
      </c>
      <c r="P102" s="69" t="s">
        <v>130</v>
      </c>
      <c r="Q102" s="69" t="s">
        <v>131</v>
      </c>
      <c r="R102" s="38"/>
    </row>
    <row r="103" spans="2:18" x14ac:dyDescent="0.3">
      <c r="B103" s="62"/>
      <c r="C103" s="50" t="s">
        <v>31</v>
      </c>
      <c r="D103" s="70" t="s">
        <v>37</v>
      </c>
      <c r="E103" s="50" t="s">
        <v>34</v>
      </c>
      <c r="F103" s="50"/>
      <c r="G103" s="69" t="s">
        <v>48</v>
      </c>
      <c r="H103" s="69" t="s">
        <v>49</v>
      </c>
      <c r="I103" s="50" t="s">
        <v>47</v>
      </c>
      <c r="J103" s="50" t="s">
        <v>5</v>
      </c>
      <c r="K103" s="50" t="s">
        <v>50</v>
      </c>
      <c r="L103" s="50"/>
      <c r="M103" s="69" t="s">
        <v>51</v>
      </c>
      <c r="N103" s="50" t="s">
        <v>52</v>
      </c>
      <c r="O103" s="69"/>
      <c r="P103" s="50"/>
      <c r="Q103" s="69"/>
    </row>
    <row r="104" spans="2:18" x14ac:dyDescent="0.3">
      <c r="B104" s="63"/>
      <c r="C104" s="50"/>
      <c r="D104" s="84"/>
      <c r="E104" s="31" t="s">
        <v>1</v>
      </c>
      <c r="F104" s="31" t="s">
        <v>2</v>
      </c>
      <c r="G104" s="69"/>
      <c r="H104" s="69"/>
      <c r="I104" s="50"/>
      <c r="J104" s="50"/>
      <c r="K104" s="50"/>
      <c r="L104" s="50"/>
      <c r="M104" s="69"/>
      <c r="N104" s="50"/>
      <c r="O104" s="69"/>
      <c r="P104" s="50"/>
      <c r="Q104" s="69"/>
    </row>
    <row r="105" spans="2:18" x14ac:dyDescent="0.3">
      <c r="B105" s="61" t="s">
        <v>40</v>
      </c>
      <c r="C105" s="66" t="s">
        <v>38</v>
      </c>
      <c r="D105" s="66" t="s">
        <v>89</v>
      </c>
      <c r="E105" s="61">
        <v>20</v>
      </c>
      <c r="F105" s="61">
        <v>25</v>
      </c>
      <c r="G105" s="61">
        <v>20</v>
      </c>
      <c r="H105" s="61">
        <v>25</v>
      </c>
      <c r="I105" s="61">
        <f>(G105+H105)/2</f>
        <v>22.5</v>
      </c>
      <c r="J105" s="58">
        <f>(E46*I105*(E105-B16/12)^2)/8</f>
        <v>195.18974999999998</v>
      </c>
      <c r="K105" s="8" t="s">
        <v>62</v>
      </c>
      <c r="L105" s="27">
        <f>0.52*J105</f>
        <v>101.49866999999999</v>
      </c>
      <c r="M105" s="27">
        <f>positive(E105,F105,$B$10,$B$11,$B$18,$B$19,$B$15,$B$16,$E$5,$B$8,B105,C105,$D$54,I105)</f>
        <v>60</v>
      </c>
      <c r="N105" s="27">
        <f>M105*L105/100</f>
        <v>60.899201999999995</v>
      </c>
      <c r="O105" s="27">
        <f>0.85*N105</f>
        <v>51.764321699999996</v>
      </c>
      <c r="P105" s="27">
        <f>0.15*N105</f>
        <v>9.134880299999999</v>
      </c>
      <c r="Q105" s="27">
        <f>(100-M105)*L105/100</f>
        <v>40.599467999999995</v>
      </c>
    </row>
    <row r="106" spans="2:18" x14ac:dyDescent="0.3">
      <c r="B106" s="62"/>
      <c r="C106" s="67"/>
      <c r="D106" s="105"/>
      <c r="E106" s="62"/>
      <c r="F106" s="62"/>
      <c r="G106" s="62"/>
      <c r="H106" s="62"/>
      <c r="I106" s="62"/>
      <c r="J106" s="60"/>
      <c r="K106" s="8" t="s">
        <v>35</v>
      </c>
      <c r="L106" s="27">
        <f>0.7*J105</f>
        <v>136.63282499999997</v>
      </c>
      <c r="M106" s="27">
        <f>negative(E105,F105,$B$10,$B$11,$B$18,$B$19,$B$15,$B$16,$E$5,$B$8,B105,C105,$D$54,I105)</f>
        <v>75</v>
      </c>
      <c r="N106" s="27">
        <f>M106*L106/100</f>
        <v>102.47461874999998</v>
      </c>
      <c r="O106" s="27">
        <f>0.85*N106</f>
        <v>87.103425937499978</v>
      </c>
      <c r="P106" s="27">
        <f>0.15*N106</f>
        <v>15.371192812499995</v>
      </c>
      <c r="Q106" s="27">
        <f>(100-M106)*L106/100</f>
        <v>34.158206249999992</v>
      </c>
    </row>
    <row r="107" spans="2:18" x14ac:dyDescent="0.3">
      <c r="B107" s="63"/>
      <c r="C107" s="68"/>
      <c r="D107" s="106"/>
      <c r="E107" s="63"/>
      <c r="F107" s="63"/>
      <c r="G107" s="63"/>
      <c r="H107" s="63"/>
      <c r="I107" s="63"/>
      <c r="J107" s="59"/>
      <c r="K107" s="8" t="s">
        <v>90</v>
      </c>
      <c r="L107" s="27">
        <f>0.26*J105</f>
        <v>50.749334999999995</v>
      </c>
      <c r="M107" s="27">
        <f>exteriornegative(E105,F105,B10,B11,B18,B19,B15,B16,E5,B8,B105,C105,D54,I105,E55)</f>
        <v>88.3</v>
      </c>
      <c r="N107" s="27">
        <f>M107*L107/100</f>
        <v>44.811662804999997</v>
      </c>
      <c r="O107" s="27">
        <f>0.85*N107</f>
        <v>38.089913384249996</v>
      </c>
      <c r="P107" s="27">
        <f>0.15*N107</f>
        <v>6.7217494207499993</v>
      </c>
      <c r="Q107" s="27">
        <f>(100-M107)*L107/100</f>
        <v>5.9376721950000011</v>
      </c>
    </row>
    <row r="108" spans="2:18" x14ac:dyDescent="0.3">
      <c r="B108" s="50" t="s">
        <v>41</v>
      </c>
      <c r="C108" s="69" t="s">
        <v>39</v>
      </c>
      <c r="D108" s="69" t="s">
        <v>32</v>
      </c>
      <c r="E108" s="61">
        <v>25</v>
      </c>
      <c r="F108" s="61">
        <v>20</v>
      </c>
      <c r="G108" s="61">
        <v>0</v>
      </c>
      <c r="H108" s="61">
        <v>20</v>
      </c>
      <c r="I108" s="61">
        <f>(G108+H108)/2+(B16/24)</f>
        <v>11</v>
      </c>
      <c r="J108" s="58">
        <f>(E46*I108*(E108-B15/12)^2)/8</f>
        <v>162.65143125</v>
      </c>
      <c r="K108" s="8" t="s">
        <v>62</v>
      </c>
      <c r="L108" s="27">
        <f>0.35*J108</f>
        <v>56.928000937499995</v>
      </c>
      <c r="M108" s="27">
        <f>positive(E108,F108,$B$10,$B$11,$B$18,$B$19,$B$15,$B$16,$E$5,$B$8,B108,C108,$D$54,I108)</f>
        <v>60</v>
      </c>
      <c r="N108" s="27">
        <f t="shared" ref="N108:N114" si="15">M108*L108/100</f>
        <v>34.156800562499996</v>
      </c>
      <c r="O108" s="27">
        <f t="shared" ref="O108:O114" si="16">0.85*N108</f>
        <v>29.033280478124997</v>
      </c>
      <c r="P108" s="27">
        <f t="shared" ref="P108:P114" si="17">0.15*N108</f>
        <v>5.1235200843749995</v>
      </c>
      <c r="Q108" s="27">
        <f t="shared" ref="Q108:Q114" si="18">(100-M108)*L108/100</f>
        <v>22.771200374999999</v>
      </c>
    </row>
    <row r="109" spans="2:18" x14ac:dyDescent="0.3">
      <c r="B109" s="50"/>
      <c r="C109" s="69"/>
      <c r="D109" s="69"/>
      <c r="E109" s="63"/>
      <c r="F109" s="63"/>
      <c r="G109" s="63"/>
      <c r="H109" s="63"/>
      <c r="I109" s="63"/>
      <c r="J109" s="59"/>
      <c r="K109" s="8" t="s">
        <v>35</v>
      </c>
      <c r="L109" s="27">
        <f>0.65*J108</f>
        <v>105.7234303125</v>
      </c>
      <c r="M109" s="27">
        <f>negative(E108,F108,$B$10,$B$11,$B$18,$B$19,$B$15,$B$16,$E$5,$B$8,B108,C108,$D$54,I108)</f>
        <v>75</v>
      </c>
      <c r="N109" s="27">
        <f t="shared" si="15"/>
        <v>79.292572734375</v>
      </c>
      <c r="O109" s="27">
        <f t="shared" si="16"/>
        <v>67.398686824218743</v>
      </c>
      <c r="P109" s="27">
        <f t="shared" si="17"/>
        <v>11.89388591015625</v>
      </c>
      <c r="Q109" s="27">
        <f t="shared" si="18"/>
        <v>26.430857578125</v>
      </c>
    </row>
    <row r="110" spans="2:18" x14ac:dyDescent="0.3">
      <c r="B110" s="66" t="s">
        <v>42</v>
      </c>
      <c r="C110" s="66" t="s">
        <v>38</v>
      </c>
      <c r="D110" s="66" t="s">
        <v>89</v>
      </c>
      <c r="E110" s="61">
        <v>20</v>
      </c>
      <c r="F110" s="61">
        <v>25</v>
      </c>
      <c r="G110" s="61">
        <v>25</v>
      </c>
      <c r="H110" s="61">
        <v>25</v>
      </c>
      <c r="I110" s="61">
        <f t="shared" ref="I110" si="19">(G110+H110)/2</f>
        <v>25</v>
      </c>
      <c r="J110" s="58">
        <f>(E46*I110*(E110-B16/12)^2)/8</f>
        <v>216.87750000000003</v>
      </c>
      <c r="K110" s="8" t="s">
        <v>62</v>
      </c>
      <c r="L110" s="27">
        <f>0.52*J110</f>
        <v>112.77630000000002</v>
      </c>
      <c r="M110" s="27">
        <f>positive(E110,F110,$B$10,$B$11,$B$18,$B$19,$B$15,$B$16,$E$5,$B$8,B110,C110,$D$54,I110)</f>
        <v>60</v>
      </c>
      <c r="N110" s="27">
        <f t="shared" si="15"/>
        <v>67.665780000000012</v>
      </c>
      <c r="O110" s="27">
        <f t="shared" si="16"/>
        <v>57.515913000000012</v>
      </c>
      <c r="P110" s="27">
        <f t="shared" si="17"/>
        <v>10.149867000000002</v>
      </c>
      <c r="Q110" s="27">
        <f t="shared" si="18"/>
        <v>45.110520000000008</v>
      </c>
    </row>
    <row r="111" spans="2:18" x14ac:dyDescent="0.3">
      <c r="B111" s="67"/>
      <c r="C111" s="67"/>
      <c r="D111" s="67"/>
      <c r="E111" s="62"/>
      <c r="F111" s="62"/>
      <c r="G111" s="62"/>
      <c r="H111" s="62"/>
      <c r="I111" s="62"/>
      <c r="J111" s="60"/>
      <c r="K111" s="8" t="s">
        <v>35</v>
      </c>
      <c r="L111" s="27">
        <f>0.7*J110</f>
        <v>151.81425000000002</v>
      </c>
      <c r="M111" s="27">
        <f>negative(E110,F110,$B$10,$B$11,$B$18,$B$19,$B$15,$B$16,$E$5,$B$8,B110,C110,$D$54,I110)</f>
        <v>75</v>
      </c>
      <c r="N111" s="27">
        <f t="shared" si="15"/>
        <v>113.8606875</v>
      </c>
      <c r="O111" s="27">
        <f t="shared" si="16"/>
        <v>96.781584374999994</v>
      </c>
      <c r="P111" s="27">
        <f t="shared" si="17"/>
        <v>17.079103125</v>
      </c>
      <c r="Q111" s="27">
        <f t="shared" si="18"/>
        <v>37.953562500000004</v>
      </c>
    </row>
    <row r="112" spans="2:18" x14ac:dyDescent="0.3">
      <c r="B112" s="68"/>
      <c r="C112" s="68"/>
      <c r="D112" s="68"/>
      <c r="E112" s="63"/>
      <c r="F112" s="63"/>
      <c r="G112" s="63"/>
      <c r="H112" s="63"/>
      <c r="I112" s="63"/>
      <c r="J112" s="59"/>
      <c r="K112" s="8" t="s">
        <v>90</v>
      </c>
      <c r="L112" s="27">
        <f>0.26*J110</f>
        <v>56.38815000000001</v>
      </c>
      <c r="M112" s="27">
        <f>exteriornegative(E110,F110,B10,B11,B18,B19,B15,B16,E5,B8,B110,C110,D54,I110,E55)</f>
        <v>89.47</v>
      </c>
      <c r="N112" s="27">
        <f t="shared" si="15"/>
        <v>50.450477805000013</v>
      </c>
      <c r="O112" s="27">
        <f t="shared" si="16"/>
        <v>42.882906134250007</v>
      </c>
      <c r="P112" s="27">
        <f t="shared" si="17"/>
        <v>7.5675716707500014</v>
      </c>
      <c r="Q112" s="27">
        <f t="shared" si="18"/>
        <v>5.9376721950000011</v>
      </c>
    </row>
    <row r="113" spans="2:17" x14ac:dyDescent="0.3">
      <c r="B113" s="50" t="s">
        <v>43</v>
      </c>
      <c r="C113" s="69" t="s">
        <v>38</v>
      </c>
      <c r="D113" s="69" t="s">
        <v>32</v>
      </c>
      <c r="E113" s="50">
        <v>25</v>
      </c>
      <c r="F113" s="50">
        <v>20</v>
      </c>
      <c r="G113" s="61">
        <v>20</v>
      </c>
      <c r="H113" s="61">
        <v>25</v>
      </c>
      <c r="I113" s="61">
        <f t="shared" ref="I113" si="20">(G113+H113)/2</f>
        <v>22.5</v>
      </c>
      <c r="J113" s="58">
        <f>(E46*I113*(E113-B15/12)^2)/8</f>
        <v>332.69610937499999</v>
      </c>
      <c r="K113" s="8" t="s">
        <v>62</v>
      </c>
      <c r="L113" s="27">
        <f t="shared" ref="L113" si="21">0.35*J113</f>
        <v>116.44363828124999</v>
      </c>
      <c r="M113" s="27">
        <f>positive(E113,F113,$B$10,$B$11,$B$18,$B$19,$B$15,$B$16,$E$5,$B$8,B113,C113,$D$54,I113)</f>
        <v>60</v>
      </c>
      <c r="N113" s="27">
        <f t="shared" si="15"/>
        <v>69.866182968749996</v>
      </c>
      <c r="O113" s="27">
        <f t="shared" si="16"/>
        <v>59.386255523437498</v>
      </c>
      <c r="P113" s="27">
        <f t="shared" si="17"/>
        <v>10.4799274453125</v>
      </c>
      <c r="Q113" s="27">
        <f t="shared" si="18"/>
        <v>46.5774553125</v>
      </c>
    </row>
    <row r="114" spans="2:17" x14ac:dyDescent="0.3">
      <c r="B114" s="50"/>
      <c r="C114" s="69"/>
      <c r="D114" s="69"/>
      <c r="E114" s="50"/>
      <c r="F114" s="50"/>
      <c r="G114" s="63"/>
      <c r="H114" s="63"/>
      <c r="I114" s="63"/>
      <c r="J114" s="59"/>
      <c r="K114" s="8" t="s">
        <v>35</v>
      </c>
      <c r="L114" s="27">
        <f t="shared" ref="L114" si="22">0.65*J113</f>
        <v>216.25247109374999</v>
      </c>
      <c r="M114" s="27">
        <f>negative(E113,F113,$B$10,$B$11,$B$18,$B$19,$B$15,$B$16,$E$5,$B$8,B113,C113,$D$54,I113)</f>
        <v>75</v>
      </c>
      <c r="N114" s="27">
        <f t="shared" si="15"/>
        <v>162.18935332031251</v>
      </c>
      <c r="O114" s="27">
        <f t="shared" si="16"/>
        <v>137.86095032226564</v>
      </c>
      <c r="P114" s="27">
        <f t="shared" si="17"/>
        <v>24.328402998046876</v>
      </c>
      <c r="Q114" s="27">
        <f t="shared" si="18"/>
        <v>54.063117773437497</v>
      </c>
    </row>
    <row r="115" spans="2:17" x14ac:dyDescent="0.3">
      <c r="E115" t="s">
        <v>54</v>
      </c>
    </row>
    <row r="117" spans="2:17" ht="15.6" x14ac:dyDescent="0.3">
      <c r="B117" s="14" t="s">
        <v>56</v>
      </c>
    </row>
    <row r="118" spans="2:17" x14ac:dyDescent="0.3">
      <c r="B118" s="64"/>
      <c r="C118" s="65"/>
      <c r="D118" s="15" t="s">
        <v>74</v>
      </c>
      <c r="E118" s="15" t="s">
        <v>71</v>
      </c>
      <c r="F118" s="15" t="s">
        <v>72</v>
      </c>
      <c r="G118" s="15" t="s">
        <v>57</v>
      </c>
      <c r="H118" s="16" t="s">
        <v>58</v>
      </c>
      <c r="I118" s="16" t="s">
        <v>128</v>
      </c>
      <c r="J118" s="16" t="s">
        <v>60</v>
      </c>
      <c r="K118" s="43" t="s">
        <v>78</v>
      </c>
      <c r="L118" s="44"/>
      <c r="M118" s="45"/>
    </row>
    <row r="119" spans="2:17" x14ac:dyDescent="0.3">
      <c r="B119" s="51" t="s">
        <v>100</v>
      </c>
      <c r="C119" s="52"/>
      <c r="D119" s="52"/>
      <c r="E119" s="52"/>
      <c r="F119" s="52"/>
      <c r="G119" s="52"/>
      <c r="H119" s="52"/>
      <c r="I119" s="52"/>
      <c r="J119" s="53"/>
      <c r="K119" s="5" t="s">
        <v>67</v>
      </c>
      <c r="L119" s="5">
        <v>0.5</v>
      </c>
      <c r="M119" s="5" t="s">
        <v>10</v>
      </c>
    </row>
    <row r="120" spans="2:17" x14ac:dyDescent="0.3">
      <c r="B120" s="102" t="s">
        <v>62</v>
      </c>
      <c r="C120" s="103"/>
      <c r="D120" s="30">
        <f>ROUND(12000*(P105/2+P110/2),2)</f>
        <v>115708.48</v>
      </c>
      <c r="E120" s="30">
        <v>102</v>
      </c>
      <c r="F120" s="30">
        <f>$B$8-$L$73-$L$74/8-$L$74/8</f>
        <v>6.5</v>
      </c>
      <c r="G120" s="30">
        <f>ROUND(D120/($B$13*E120*F120^2),2)</f>
        <v>35.799999999999997</v>
      </c>
      <c r="H120" s="30">
        <f>rho($B$7,$B$6,G120)</f>
        <v>2.0999999999999999E-3</v>
      </c>
      <c r="I120" s="30">
        <f>ROUND(H120*E120*F120,2)</f>
        <v>1.39</v>
      </c>
      <c r="J120" s="30">
        <f>ROUND(I120/$L$75,0)</f>
        <v>7</v>
      </c>
      <c r="K120" s="5" t="s">
        <v>68</v>
      </c>
      <c r="L120" s="5">
        <v>4</v>
      </c>
      <c r="M120" s="5"/>
    </row>
    <row r="121" spans="2:17" x14ac:dyDescent="0.3">
      <c r="B121" s="102" t="s">
        <v>63</v>
      </c>
      <c r="C121" s="103"/>
      <c r="D121" s="30">
        <f>ROUND(12000*(P106/2+P111/2),2)</f>
        <v>194701.78</v>
      </c>
      <c r="E121" s="30">
        <v>102</v>
      </c>
      <c r="F121" s="30">
        <f>$B$8-$L$73-$L$74/8-$L$74/8</f>
        <v>6.5</v>
      </c>
      <c r="G121" s="30">
        <f>ROUND(D121/($B$13*E121*F121^2),2)</f>
        <v>60.24</v>
      </c>
      <c r="H121" s="30">
        <f t="shared" ref="H121:H122" si="23">rho($B$7,$B$6,G121)</f>
        <v>2.0999999999999999E-3</v>
      </c>
      <c r="I121" s="30">
        <f>ROUND(H121*E121*F121,2)</f>
        <v>1.39</v>
      </c>
      <c r="J121" s="30">
        <f>ROUND(I121/$L$75,0)</f>
        <v>7</v>
      </c>
      <c r="K121" s="5" t="s">
        <v>76</v>
      </c>
      <c r="L121" s="5">
        <f>0.785*(L120/8)*(L120/8)</f>
        <v>0.19625000000000001</v>
      </c>
      <c r="M121" s="5" t="s">
        <v>77</v>
      </c>
    </row>
    <row r="122" spans="2:17" x14ac:dyDescent="0.3">
      <c r="B122" s="104" t="s">
        <v>92</v>
      </c>
      <c r="C122" s="104"/>
      <c r="D122" s="30">
        <f>ROUND(12000*(P107/2+P112/2),2)</f>
        <v>85735.93</v>
      </c>
      <c r="E122" s="30">
        <v>102</v>
      </c>
      <c r="F122" s="30">
        <f>$B$8-$L$73-$L$74/8-$L$74/8</f>
        <v>6.5</v>
      </c>
      <c r="G122" s="30">
        <f>ROUND(D122/($B$13*E122*F122^2),2)</f>
        <v>26.53</v>
      </c>
      <c r="H122" s="30">
        <f t="shared" si="23"/>
        <v>2.0999999999999999E-3</v>
      </c>
      <c r="I122" s="30">
        <f>ROUND(H122*E122*F122,2)</f>
        <v>1.39</v>
      </c>
      <c r="J122" s="30">
        <f>ROUND(I122/$L$75,0)</f>
        <v>7</v>
      </c>
      <c r="K122" s="9"/>
      <c r="L122" s="9"/>
      <c r="M122" s="9"/>
    </row>
    <row r="123" spans="2:17" x14ac:dyDescent="0.3">
      <c r="B123" s="51" t="s">
        <v>101</v>
      </c>
      <c r="C123" s="52"/>
      <c r="D123" s="52"/>
      <c r="E123" s="52"/>
      <c r="F123" s="52"/>
      <c r="G123" s="52"/>
      <c r="H123" s="52"/>
      <c r="I123" s="52"/>
      <c r="J123" s="53"/>
    </row>
    <row r="124" spans="2:17" x14ac:dyDescent="0.3">
      <c r="B124" s="102" t="s">
        <v>62</v>
      </c>
      <c r="C124" s="103"/>
      <c r="D124" s="30">
        <f>ROUND(12000*(Q105/2+Q110/2),2)</f>
        <v>514259.93</v>
      </c>
      <c r="E124" s="30">
        <v>180</v>
      </c>
      <c r="F124" s="30">
        <f>$B$8-$L$73-$L$74/8-$L$74/8</f>
        <v>6.5</v>
      </c>
      <c r="G124" s="30">
        <f>ROUND(D124/($B$13*E124*F124^2),2)</f>
        <v>90.16</v>
      </c>
      <c r="H124" s="30">
        <f>ROUND(rho($B$7,$B$6,G124),5)</f>
        <v>2.0999999999999999E-3</v>
      </c>
      <c r="I124" s="30">
        <f>ROUND(H124*E124*F124,2)</f>
        <v>2.46</v>
      </c>
      <c r="J124" s="30">
        <f>ROUND(I124/$L$75,0)</f>
        <v>13</v>
      </c>
    </row>
    <row r="125" spans="2:17" x14ac:dyDescent="0.3">
      <c r="B125" s="5" t="s">
        <v>63</v>
      </c>
      <c r="C125" s="5"/>
      <c r="D125" s="30">
        <f t="shared" ref="D125:D126" si="24">ROUND(12000*(Q106/2+Q111/2),2)</f>
        <v>432670.61</v>
      </c>
      <c r="E125" s="30">
        <v>180</v>
      </c>
      <c r="F125" s="30">
        <f>$B$8-$L$73-$L$74/8-$L$74/8</f>
        <v>6.5</v>
      </c>
      <c r="G125" s="30">
        <f>ROUND(D125/($B$13*E125*F125^2),2)</f>
        <v>75.86</v>
      </c>
      <c r="H125" s="30">
        <f t="shared" ref="H125:H126" si="25">ROUND(rho($B$7,$B$6,G125),5)</f>
        <v>2.0999999999999999E-3</v>
      </c>
      <c r="I125" s="30">
        <f>ROUND(H125*E125*F125,2)</f>
        <v>2.46</v>
      </c>
      <c r="J125" s="30">
        <f>ROUND(I125/$L$75,0)</f>
        <v>13</v>
      </c>
    </row>
    <row r="126" spans="2:17" x14ac:dyDescent="0.3">
      <c r="B126" s="104" t="s">
        <v>92</v>
      </c>
      <c r="C126" s="104"/>
      <c r="D126" s="30">
        <f t="shared" si="24"/>
        <v>71252.070000000007</v>
      </c>
      <c r="E126" s="30">
        <v>180</v>
      </c>
      <c r="F126" s="30">
        <f>$B$8-$L$73-$L$74/8-$L$74/8</f>
        <v>6.5</v>
      </c>
      <c r="G126" s="30">
        <f>ROUND(D126/($B$13*E126*F126^2),2)</f>
        <v>12.49</v>
      </c>
      <c r="H126" s="30">
        <f t="shared" si="25"/>
        <v>2.0999999999999999E-3</v>
      </c>
      <c r="I126" s="30">
        <f>ROUND(H126*E126*F126,2)</f>
        <v>2.46</v>
      </c>
      <c r="J126" s="30">
        <f>ROUND(I126/$L$75,0)</f>
        <v>13</v>
      </c>
    </row>
    <row r="127" spans="2:17" x14ac:dyDescent="0.3">
      <c r="B127" s="51" t="s">
        <v>102</v>
      </c>
      <c r="C127" s="52"/>
      <c r="D127" s="52"/>
      <c r="E127" s="52"/>
      <c r="F127" s="52"/>
      <c r="G127" s="52"/>
      <c r="H127" s="52"/>
      <c r="I127" s="52"/>
      <c r="J127" s="53"/>
    </row>
    <row r="128" spans="2:17" x14ac:dyDescent="0.3">
      <c r="B128" s="102" t="s">
        <v>62</v>
      </c>
      <c r="C128" s="103"/>
      <c r="D128" s="30">
        <f>ROUND(12000*(P108),2)</f>
        <v>61482.239999999998</v>
      </c>
      <c r="E128" s="30">
        <v>48</v>
      </c>
      <c r="F128" s="30">
        <f>$B$8-$L$73-$L$74/8</f>
        <v>7</v>
      </c>
      <c r="G128" s="30">
        <f>ROUND(D128/($B$13*E128*F128^2),2)</f>
        <v>34.85</v>
      </c>
      <c r="H128" s="30">
        <f>ROUND(rho($B$7,$B$6,G128),5)</f>
        <v>2.0999999999999999E-3</v>
      </c>
      <c r="I128" s="30">
        <f>ROUND(H128*E128*F128,2)</f>
        <v>0.71</v>
      </c>
      <c r="J128" s="30">
        <f>ROUND(I128/$L$75,0)</f>
        <v>4</v>
      </c>
    </row>
    <row r="129" spans="2:10" x14ac:dyDescent="0.3">
      <c r="B129" s="5" t="s">
        <v>63</v>
      </c>
      <c r="C129" s="5"/>
      <c r="D129" s="30">
        <f>ROUND(12000*(P106/2+P111/2),2)</f>
        <v>194701.78</v>
      </c>
      <c r="E129" s="30">
        <v>48</v>
      </c>
      <c r="F129" s="30">
        <f>$B$8-$L$73-$L$74/8</f>
        <v>7</v>
      </c>
      <c r="G129" s="30">
        <f>ROUND(D129/($B$13*E129*F129^2),2)</f>
        <v>110.38</v>
      </c>
      <c r="H129" s="30">
        <f>ROUND(rho($B$7,$B$6,G129),5)</f>
        <v>2.0999999999999999E-3</v>
      </c>
      <c r="I129" s="30">
        <f>ROUND(H129*E129*F129,2)</f>
        <v>0.71</v>
      </c>
      <c r="J129" s="30">
        <f>ROUND(I129/$L$75,0)</f>
        <v>4</v>
      </c>
    </row>
    <row r="130" spans="2:10" x14ac:dyDescent="0.3">
      <c r="B130" s="51" t="s">
        <v>102</v>
      </c>
      <c r="C130" s="52"/>
      <c r="D130" s="52"/>
      <c r="E130" s="52"/>
      <c r="F130" s="52"/>
      <c r="G130" s="52"/>
      <c r="H130" s="52"/>
      <c r="I130" s="52"/>
      <c r="J130" s="53"/>
    </row>
    <row r="131" spans="2:10" x14ac:dyDescent="0.3">
      <c r="B131" s="102" t="s">
        <v>62</v>
      </c>
      <c r="C131" s="103"/>
      <c r="D131" s="30">
        <f>ROUND(12000*(Q113/2),2)</f>
        <v>279464.73</v>
      </c>
      <c r="E131" s="30">
        <v>48</v>
      </c>
      <c r="F131" s="30">
        <f>$B$8-$L$73-$L$74/8</f>
        <v>7</v>
      </c>
      <c r="G131" s="30">
        <f>ROUND(D131/($B$13*E131*F131^2),2)</f>
        <v>158.43</v>
      </c>
      <c r="H131" s="30">
        <f>ROUND(rho($B$7,$B$6,G131),5)</f>
        <v>2.7299999999999998E-3</v>
      </c>
      <c r="I131" s="30">
        <f>ROUND(H131*E131*F131,2)</f>
        <v>0.92</v>
      </c>
      <c r="J131" s="30">
        <f>ROUND(I131/$L$75,0)</f>
        <v>5</v>
      </c>
    </row>
    <row r="132" spans="2:10" x14ac:dyDescent="0.3">
      <c r="B132" s="5" t="s">
        <v>63</v>
      </c>
      <c r="C132" s="5"/>
      <c r="D132" s="30">
        <f>ROUND(12000*(Q114/2),2)</f>
        <v>324378.71000000002</v>
      </c>
      <c r="E132" s="30">
        <v>48</v>
      </c>
      <c r="F132" s="30">
        <f>$B$8-$L$73-$L$74/8</f>
        <v>7</v>
      </c>
      <c r="G132" s="30">
        <f>ROUND(D132/($B$13*E132*F132^2),2)</f>
        <v>183.89</v>
      </c>
      <c r="H132" s="30">
        <f>ROUND(rho($B$7,$B$6,G132),5)</f>
        <v>3.1800000000000001E-3</v>
      </c>
      <c r="I132" s="30">
        <f>ROUND(H132*E132*F132,2)</f>
        <v>1.07</v>
      </c>
      <c r="J132" s="30">
        <f>ROUND(I132/$L$75,0)</f>
        <v>5</v>
      </c>
    </row>
    <row r="133" spans="2:10" x14ac:dyDescent="0.3">
      <c r="B133" s="51" t="s">
        <v>103</v>
      </c>
      <c r="C133" s="52"/>
      <c r="D133" s="52"/>
      <c r="E133" s="52"/>
      <c r="F133" s="52"/>
      <c r="G133" s="52"/>
      <c r="H133" s="52"/>
      <c r="I133" s="52"/>
      <c r="J133" s="53"/>
    </row>
    <row r="134" spans="2:10" x14ac:dyDescent="0.3">
      <c r="B134" s="102" t="s">
        <v>62</v>
      </c>
      <c r="C134" s="103"/>
      <c r="D134" s="30">
        <f>ROUND(12000*(Q108+Q113/2),2)</f>
        <v>552719.14</v>
      </c>
      <c r="E134" s="30">
        <v>120</v>
      </c>
      <c r="F134" s="30">
        <f>$B$8-$L$73-$L$74/8</f>
        <v>7</v>
      </c>
      <c r="G134" s="30">
        <f>ROUND(D134/($B$13*E134*F134^2),2)</f>
        <v>125.33</v>
      </c>
      <c r="H134" s="30">
        <f>ROUND(rho($B$7,$B$6,G134),5)</f>
        <v>2.14E-3</v>
      </c>
      <c r="I134" s="30">
        <f t="shared" ref="I134:I135" si="26">ROUND(H134*E134*F134,2)</f>
        <v>1.8</v>
      </c>
      <c r="J134" s="30">
        <f>ROUND(I134/$L$75,0)</f>
        <v>9</v>
      </c>
    </row>
    <row r="135" spans="2:10" x14ac:dyDescent="0.3">
      <c r="B135" s="5" t="s">
        <v>63</v>
      </c>
      <c r="C135" s="5"/>
      <c r="D135" s="30">
        <f>ROUND(12000*(Q109+Q114/2),2)</f>
        <v>641549</v>
      </c>
      <c r="E135" s="30">
        <v>120</v>
      </c>
      <c r="F135" s="30">
        <f>$B$8-$L$73-$L$74/8</f>
        <v>7</v>
      </c>
      <c r="G135" s="30">
        <f>ROUND(D135/($B$13*E135*F135^2),2)</f>
        <v>145.47999999999999</v>
      </c>
      <c r="H135" s="30">
        <f>ROUND(rho($B$7,$B$6,G135),5)</f>
        <v>2.5000000000000001E-3</v>
      </c>
      <c r="I135" s="30">
        <f t="shared" si="26"/>
        <v>2.1</v>
      </c>
      <c r="J135" s="30">
        <f>ROUND(I135/$L$75,0)</f>
        <v>11</v>
      </c>
    </row>
    <row r="138" spans="2:10" x14ac:dyDescent="0.3">
      <c r="E138" t="s">
        <v>69</v>
      </c>
    </row>
  </sheetData>
  <mergeCells count="150">
    <mergeCell ref="J61:J62"/>
    <mergeCell ref="F61:F62"/>
    <mergeCell ref="J59:J60"/>
    <mergeCell ref="K59:L60"/>
    <mergeCell ref="M59:M60"/>
    <mergeCell ref="N59:N60"/>
    <mergeCell ref="P58:P60"/>
    <mergeCell ref="Q58:Q60"/>
    <mergeCell ref="A2:F2"/>
    <mergeCell ref="D4:F4"/>
    <mergeCell ref="A14:C14"/>
    <mergeCell ref="A17:F17"/>
    <mergeCell ref="A21:D21"/>
    <mergeCell ref="A45:D45"/>
    <mergeCell ref="D54:E54"/>
    <mergeCell ref="B58:B60"/>
    <mergeCell ref="B30:C30"/>
    <mergeCell ref="D30:D31"/>
    <mergeCell ref="E30:E31"/>
    <mergeCell ref="F30:F31"/>
    <mergeCell ref="G30:G31"/>
    <mergeCell ref="C59:C60"/>
    <mergeCell ref="D59:D60"/>
    <mergeCell ref="E59:F59"/>
    <mergeCell ref="G59:G60"/>
    <mergeCell ref="H59:H60"/>
    <mergeCell ref="I59:I60"/>
    <mergeCell ref="G61:G62"/>
    <mergeCell ref="H61:H62"/>
    <mergeCell ref="I61:I62"/>
    <mergeCell ref="B63:B64"/>
    <mergeCell ref="C63:C64"/>
    <mergeCell ref="D63:D64"/>
    <mergeCell ref="E63:E64"/>
    <mergeCell ref="B61:B62"/>
    <mergeCell ref="C61:C62"/>
    <mergeCell ref="D61:D62"/>
    <mergeCell ref="E61:E62"/>
    <mergeCell ref="F63:F64"/>
    <mergeCell ref="G63:G64"/>
    <mergeCell ref="H63:H64"/>
    <mergeCell ref="I63:I64"/>
    <mergeCell ref="J63:J64"/>
    <mergeCell ref="B65:B66"/>
    <mergeCell ref="C65:C66"/>
    <mergeCell ref="D65:D66"/>
    <mergeCell ref="E65:E66"/>
    <mergeCell ref="F67:F68"/>
    <mergeCell ref="G67:G68"/>
    <mergeCell ref="H67:H68"/>
    <mergeCell ref="I67:I68"/>
    <mergeCell ref="J67:J68"/>
    <mergeCell ref="B72:C72"/>
    <mergeCell ref="K72:M72"/>
    <mergeCell ref="F65:F66"/>
    <mergeCell ref="G65:G66"/>
    <mergeCell ref="H65:H66"/>
    <mergeCell ref="I65:I66"/>
    <mergeCell ref="J65:J66"/>
    <mergeCell ref="B67:B68"/>
    <mergeCell ref="C67:C68"/>
    <mergeCell ref="D67:D68"/>
    <mergeCell ref="E67:E68"/>
    <mergeCell ref="O102:O104"/>
    <mergeCell ref="B82:J82"/>
    <mergeCell ref="B83:C83"/>
    <mergeCell ref="A90:D90"/>
    <mergeCell ref="B102:B104"/>
    <mergeCell ref="H103:H104"/>
    <mergeCell ref="I103:I104"/>
    <mergeCell ref="B73:J73"/>
    <mergeCell ref="B74:C74"/>
    <mergeCell ref="B76:J76"/>
    <mergeCell ref="B77:C77"/>
    <mergeCell ref="B79:J79"/>
    <mergeCell ref="B80:C80"/>
    <mergeCell ref="C103:C104"/>
    <mergeCell ref="D103:D104"/>
    <mergeCell ref="E103:F103"/>
    <mergeCell ref="G103:G104"/>
    <mergeCell ref="J103:J104"/>
    <mergeCell ref="K103:L104"/>
    <mergeCell ref="M103:M104"/>
    <mergeCell ref="N103:N104"/>
    <mergeCell ref="C102:D102"/>
    <mergeCell ref="E102:I102"/>
    <mergeCell ref="J102:L102"/>
    <mergeCell ref="M102:N102"/>
    <mergeCell ref="J105:J107"/>
    <mergeCell ref="B108:B109"/>
    <mergeCell ref="C108:C109"/>
    <mergeCell ref="D108:D109"/>
    <mergeCell ref="E108:E109"/>
    <mergeCell ref="F108:F109"/>
    <mergeCell ref="G108:G109"/>
    <mergeCell ref="H108:H109"/>
    <mergeCell ref="I108:I109"/>
    <mergeCell ref="J108:J109"/>
    <mergeCell ref="B105:B107"/>
    <mergeCell ref="C105:C107"/>
    <mergeCell ref="D105:D107"/>
    <mergeCell ref="E105:E107"/>
    <mergeCell ref="F105:F107"/>
    <mergeCell ref="G105:G107"/>
    <mergeCell ref="H105:H107"/>
    <mergeCell ref="I105:I107"/>
    <mergeCell ref="J113:J114"/>
    <mergeCell ref="B118:C118"/>
    <mergeCell ref="K118:M118"/>
    <mergeCell ref="G110:G112"/>
    <mergeCell ref="H110:H112"/>
    <mergeCell ref="I110:I112"/>
    <mergeCell ref="J110:J112"/>
    <mergeCell ref="B113:B114"/>
    <mergeCell ref="C113:C114"/>
    <mergeCell ref="D113:D114"/>
    <mergeCell ref="E113:E114"/>
    <mergeCell ref="F113:F114"/>
    <mergeCell ref="B110:B112"/>
    <mergeCell ref="C110:C112"/>
    <mergeCell ref="D110:D112"/>
    <mergeCell ref="E110:E112"/>
    <mergeCell ref="F110:F112"/>
    <mergeCell ref="G113:G114"/>
    <mergeCell ref="H113:H114"/>
    <mergeCell ref="I113:I114"/>
    <mergeCell ref="P102:P104"/>
    <mergeCell ref="Q102:Q104"/>
    <mergeCell ref="B134:C134"/>
    <mergeCell ref="H30:H31"/>
    <mergeCell ref="I30:I31"/>
    <mergeCell ref="J30:J31"/>
    <mergeCell ref="K30:K31"/>
    <mergeCell ref="C58:D58"/>
    <mergeCell ref="E58:I58"/>
    <mergeCell ref="J58:L58"/>
    <mergeCell ref="M58:N58"/>
    <mergeCell ref="O58:O60"/>
    <mergeCell ref="B126:C126"/>
    <mergeCell ref="B127:J127"/>
    <mergeCell ref="B128:C128"/>
    <mergeCell ref="B130:J130"/>
    <mergeCell ref="B131:C131"/>
    <mergeCell ref="B133:J133"/>
    <mergeCell ref="B119:J119"/>
    <mergeCell ref="B120:C120"/>
    <mergeCell ref="B121:C121"/>
    <mergeCell ref="B122:C122"/>
    <mergeCell ref="B123:J123"/>
    <mergeCell ref="B124:C12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problem1</vt:lpstr>
      <vt:lpstr>problem2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Radhu</cp:lastModifiedBy>
  <dcterms:created xsi:type="dcterms:W3CDTF">2016-10-15T16:59:19Z</dcterms:created>
  <dcterms:modified xsi:type="dcterms:W3CDTF">2017-05-01T01:04:55Z</dcterms:modified>
</cp:coreProperties>
</file>